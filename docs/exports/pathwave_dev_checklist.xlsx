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PR 체크리스트" sheetId="2" state="visible" r:id="rId2"/>
    <sheet xmlns:r="http://schemas.openxmlformats.org/officeDocument/2006/relationships" name="단계별 일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-"/>
    <numFmt numFmtId="165" formatCode="yyyy-mm-dd"/>
  </numFmts>
  <fonts count="8">
    <font>
      <name val="Calibri"/>
      <family val="2"/>
      <color theme="1"/>
      <sz val="11"/>
      <scheme val="minor"/>
    </font>
    <font>
      <name val="Arial"/>
      <color rgb="000000FF"/>
    </font>
    <font>
      <name val="Arial"/>
      <b val="1"/>
      <color rgb="00FFFFFF"/>
      <sz val="11"/>
    </font>
    <font>
      <name val="Arial"/>
      <b val="1"/>
      <color rgb="001F4E78"/>
      <sz val="14"/>
    </font>
    <font>
      <name val="Arial"/>
    </font>
    <font>
      <name val="Arial"/>
      <color rgb="00008000"/>
    </font>
    <font>
      <name val="Arial"/>
      <b val="1"/>
      <color rgb="001F4E78"/>
    </font>
    <font>
      <name val="Arial"/>
      <color rgb="00505050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1F4E78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2" fillId="5" borderId="1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5" fillId="6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4" customWidth="1" min="1" max="1"/>
    <col width="32" customWidth="1" min="2" max="2"/>
  </cols>
  <sheetData>
    <row r="1">
      <c r="A1" s="1" t="inlineStr">
        <is>
          <t>PathWave 개발 체크리스트 요약</t>
        </is>
      </c>
    </row>
    <row r="3">
      <c r="A3" s="2" t="inlineStr">
        <is>
          <t>지표</t>
        </is>
      </c>
      <c r="B3" s="2" t="inlineStr">
        <is>
          <t>값</t>
        </is>
      </c>
    </row>
    <row r="4">
      <c r="A4" s="3" t="inlineStr">
        <is>
          <t>총 PR 수</t>
        </is>
      </c>
      <c r="B4" s="4">
        <f>COUNTA('PR 체크리스트'!A2:A30)</f>
        <v/>
      </c>
    </row>
    <row r="5">
      <c r="A5" s="3" t="inlineStr">
        <is>
          <t>완료 (✅)</t>
        </is>
      </c>
      <c r="B5" s="4">
        <f>COUNTIF('PR 체크리스트'!F2:F30,"✅")</f>
        <v/>
      </c>
    </row>
    <row r="6">
      <c r="A6" s="3" t="inlineStr">
        <is>
          <t>검토중 (🔎)</t>
        </is>
      </c>
      <c r="B6" s="4">
        <f>COUNTIF('PR 체크리스트'!F2:F30,"🔎")</f>
        <v/>
      </c>
    </row>
    <row r="7">
      <c r="A7" s="3" t="inlineStr">
        <is>
          <t>부분 완료 (◑)</t>
        </is>
      </c>
      <c r="B7" s="4">
        <f>COUNTIF('PR 체크리스트'!F2:F30,"◑")</f>
        <v/>
      </c>
    </row>
    <row r="8">
      <c r="A8" s="3" t="inlineStr">
        <is>
          <t>진행중 (🔄)</t>
        </is>
      </c>
      <c r="B8" s="4">
        <f>COUNTIF('PR 체크리스트'!F2:F30,"🔄")</f>
        <v/>
      </c>
    </row>
    <row r="9">
      <c r="A9" s="3" t="inlineStr">
        <is>
          <t>대기 (⬜)</t>
        </is>
      </c>
      <c r="B9" s="4">
        <f>COUNTIF('PR 체크리스트'!F2:F30,"⬜")</f>
        <v/>
      </c>
    </row>
    <row r="10">
      <c r="A10" s="3" t="inlineStr">
        <is>
          <t>가중 평균 진척율</t>
        </is>
      </c>
      <c r="B10" s="5">
        <f>AVERAGE('PR 체크리스트'!G2:G30)</f>
        <v/>
      </c>
    </row>
    <row r="11">
      <c r="A11" s="3" t="inlineStr">
        <is>
          <t>업데이트 일자</t>
        </is>
      </c>
      <c r="B11" s="3" t="inlineStr">
        <is>
          <t>2026-05-23</t>
        </is>
      </c>
    </row>
    <row r="12">
      <c r="A12" s="3" t="inlineStr">
        <is>
          <t>목표 출시일</t>
        </is>
      </c>
      <c r="B12" s="3" t="inlineStr">
        <is>
          <t>2026-07-하순~8월 초</t>
        </is>
      </c>
    </row>
    <row r="13">
      <c r="A13" s="6" t="inlineStr">
        <is>
          <t>사용 방법</t>
        </is>
      </c>
    </row>
    <row r="14">
      <c r="A14" s="7" t="inlineStr">
        <is>
          <t>① "PR 체크리스트" 시트에서 F열(상태) 드롭다운으로 ⬜ → 🔄 → 🔎 → ✅ 갱신</t>
        </is>
      </c>
    </row>
    <row r="15">
      <c r="A15" s="7" t="inlineStr">
        <is>
          <t>② I/J/K열(시작일·목표일·완료일)을 yyyy-mm-dd 로 입력하면 일정 추적 가능</t>
        </is>
      </c>
    </row>
    <row r="16">
      <c r="A16" s="7" t="inlineStr">
        <is>
          <t>③ 진척율은 상태에 따라 자동 계산 (⬜=0%, 🔄=50%, ◑=70%, 🔎=90%, ✅=100%)</t>
        </is>
      </c>
    </row>
    <row r="17">
      <c r="A17" s="7" t="inlineStr">
        <is>
          <t>④ 요약 시트는 PR 체크리스트의 상태를 실시간 집계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8" customWidth="1" min="4" max="4"/>
    <col width="50" customWidth="1" min="5" max="5"/>
    <col width="8" customWidth="1" min="6" max="6"/>
    <col width="9" customWidth="1" min="7" max="7"/>
    <col width="9" customWidth="1" min="8" max="8"/>
    <col width="12" customWidth="1" min="9" max="9"/>
    <col width="18" customWidth="1" min="10" max="10"/>
    <col width="12" customWidth="1" min="11" max="11"/>
    <col width="36" customWidth="1" min="12" max="12"/>
  </cols>
  <sheetData>
    <row r="1" ht="32" customHeight="1">
      <c r="A1" s="8" t="inlineStr">
        <is>
          <t>PR</t>
        </is>
      </c>
      <c r="B1" s="8" t="inlineStr">
        <is>
          <t>분류</t>
        </is>
      </c>
      <c r="C1" s="8" t="inlineStr">
        <is>
          <t>도메인</t>
        </is>
      </c>
      <c r="D1" s="8" t="inlineStr">
        <is>
          <t>콘솔/영역</t>
        </is>
      </c>
      <c r="E1" s="8" t="inlineStr">
        <is>
          <t>내용 요약</t>
        </is>
      </c>
      <c r="F1" s="8" t="inlineStr">
        <is>
          <t>상태</t>
        </is>
      </c>
      <c r="G1" s="8" t="inlineStr">
        <is>
          <t>진척율</t>
        </is>
      </c>
      <c r="H1" s="8" t="inlineStr">
        <is>
          <t>담당</t>
        </is>
      </c>
      <c r="I1" s="8" t="inlineStr">
        <is>
          <t>시작일</t>
        </is>
      </c>
      <c r="J1" s="8" t="inlineStr">
        <is>
          <t>목표일</t>
        </is>
      </c>
      <c r="K1" s="8" t="inlineStr">
        <is>
          <t>완료일</t>
        </is>
      </c>
      <c r="L1" s="8" t="inlineStr">
        <is>
          <t>검증 시나리오 / 메모</t>
        </is>
      </c>
    </row>
    <row r="2">
      <c r="A2" s="9" t="inlineStr">
        <is>
          <t>P1</t>
        </is>
      </c>
      <c r="B2" s="9" t="inlineStr">
        <is>
          <t>인프라</t>
        </is>
      </c>
      <c r="C2" s="9" t="inlineStr">
        <is>
          <t>mobile 디자인 기반</t>
        </is>
      </c>
      <c r="D2" s="9" t="inlineStr">
        <is>
          <t>mobile</t>
        </is>
      </c>
      <c r="E2" s="9" t="inlineStr">
        <is>
          <t>테마 단일화 + 시스템 폰트 + neu/ 위젯 통합 + Pw* 4종 추가</t>
        </is>
      </c>
      <c r="F2" s="10" t="inlineStr">
        <is>
          <t>✅</t>
        </is>
      </c>
      <c r="G2" s="11">
        <f>IF(F2="✅",1,IF(F2="🔄",0.5,IF(F2="◑",0.7,IF(F2="🔎",0.9,0))))</f>
        <v/>
      </c>
      <c r="H2" s="12" t="inlineStr">
        <is>
          <t>2026-05-21</t>
        </is>
      </c>
      <c r="I2" s="13" t="inlineStr">
        <is>
          <t>2026-05-22</t>
        </is>
      </c>
      <c r="J2" s="13" t="inlineStr">
        <is>
          <t>2026-05-23</t>
        </is>
      </c>
      <c r="K2" s="13" t="inlineStr">
        <is>
          <t>시뮬레이터 렌더 확인, 위젯 일관성</t>
        </is>
      </c>
      <c r="L2" s="9" t="n"/>
    </row>
    <row r="3">
      <c r="A3" s="9" t="inlineStr">
        <is>
          <t>P2</t>
        </is>
      </c>
      <c r="B3" s="9" t="inlineStr">
        <is>
          <t>인프라</t>
        </is>
      </c>
      <c r="C3" s="9" t="inlineStr">
        <is>
          <t>mobile i18n</t>
        </is>
      </c>
      <c r="D3" s="9" t="inlineStr">
        <is>
          <t>mobile·BE</t>
        </is>
      </c>
      <c r="E3" s="9" t="inlineStr">
        <is>
          <t>I18nService DB 통일 + 12언어 + 전 화면 t() 전환 + ko 시드 550 + DeepL 스크립트</t>
        </is>
      </c>
      <c r="F3" s="10" t="inlineStr">
        <is>
          <t>✅</t>
        </is>
      </c>
      <c r="G3" s="11">
        <f>IF(F3="✅",1,IF(F3="🔄",0.5,IF(F3="◑",0.7,IF(F3="🔎",0.9,0))))</f>
        <v/>
      </c>
      <c r="H3" s="12" t="inlineStr">
        <is>
          <t>2026-05-21</t>
        </is>
      </c>
      <c r="I3" s="13" t="inlineStr">
        <is>
          <t>2026-05-22</t>
        </is>
      </c>
      <c r="J3" s="13" t="inlineStr">
        <is>
          <t>2026-05-23</t>
        </is>
      </c>
      <c r="K3" s="13" t="inlineStr">
        <is>
          <t>전 화면 grep clean, flutter analyze pass</t>
        </is>
      </c>
      <c r="L3" s="9" t="n"/>
    </row>
    <row r="4">
      <c r="A4" s="9" t="inlineStr">
        <is>
          <t>P3</t>
        </is>
      </c>
      <c r="B4" s="9" t="inlineStr">
        <is>
          <t>인프라</t>
        </is>
      </c>
      <c r="C4" s="9" t="inlineStr">
        <is>
          <t>웹 디자인 시스템</t>
        </is>
      </c>
      <c r="D4" s="9" t="inlineStr">
        <is>
          <t>provider·admin</t>
        </is>
      </c>
      <c r="E4" s="9" t="inlineStr">
        <is>
          <t>alert/confirm 33곳→useDialog 공용 모달 + 색 토큰 정합</t>
        </is>
      </c>
      <c r="F4" s="10" t="inlineStr">
        <is>
          <t>✅</t>
        </is>
      </c>
      <c r="G4" s="11">
        <f>IF(F4="✅",1,IF(F4="🔄",0.5,IF(F4="◑",0.7,IF(F4="🔎",0.9,0))))</f>
        <v/>
      </c>
      <c r="H4" s="12" t="inlineStr">
        <is>
          <t>2026-05-21</t>
        </is>
      </c>
      <c r="I4" s="13" t="inlineStr">
        <is>
          <t>2026-05-22</t>
        </is>
      </c>
      <c r="J4" s="13" t="inlineStr">
        <is>
          <t>2026-05-23</t>
        </is>
      </c>
      <c r="K4" s="13" t="inlineStr">
        <is>
          <t>두 콘솔 build + grep clean</t>
        </is>
      </c>
      <c r="L4" s="9" t="n"/>
    </row>
    <row r="5">
      <c r="A5" s="9" t="inlineStr">
        <is>
          <t>P4</t>
        </is>
      </c>
      <c r="B5" s="9" t="inlineStr">
        <is>
          <t>Critical</t>
        </is>
      </c>
      <c r="C5" s="9" t="inlineStr">
        <is>
          <t>인증 우회 제거</t>
        </is>
      </c>
      <c r="D5" s="9" t="inlineStr">
        <is>
          <t>provider·admin·BE</t>
        </is>
      </c>
      <c r="E5" s="9" t="inlineStr">
        <is>
          <t>DEV_AUTO_LOGIN env 게이트 + 실 로그인폼 복구 + /forgot-password 정식 구현(BE 2 API + 페이지)</t>
        </is>
      </c>
      <c r="F5" s="10" t="inlineStr">
        <is>
          <t>✅</t>
        </is>
      </c>
      <c r="G5" s="11">
        <f>IF(F5="✅",1,IF(F5="🔄",0.5,IF(F5="◑",0.7,IF(F5="🔎",0.9,0))))</f>
        <v/>
      </c>
      <c r="H5" s="12" t="inlineStr">
        <is>
          <t>2026-05-23</t>
        </is>
      </c>
      <c r="I5" s="13" t="inlineStr">
        <is>
          <t>2026-05-23</t>
        </is>
      </c>
      <c r="J5" s="13" t="inlineStr">
        <is>
          <t>2026-05-23</t>
        </is>
      </c>
      <c r="K5" s="13" t="inlineStr">
        <is>
          <t>BE 2 API test client 통과(미존재 이메일 200/잘못된 코드 400). ⚠ app.py 재시작 필요</t>
        </is>
      </c>
      <c r="L5" s="9" t="n"/>
    </row>
    <row r="6">
      <c r="A6" s="9" t="inlineStr">
        <is>
          <t>P5</t>
        </is>
      </c>
      <c r="B6" s="9" t="inlineStr">
        <is>
          <t>Critical</t>
        </is>
      </c>
      <c r="C6" s="9" t="inlineStr">
        <is>
          <t>매장·회사정보 실연동</t>
        </is>
      </c>
      <c r="D6" s="9" t="inlineStr">
        <is>
          <t>provider</t>
        </is>
      </c>
      <c r="E6" s="9" t="inlineStr">
        <is>
          <t>StoreInfo 하드코딩 제거 + StoreService 실연동 + PwFooter + dead code Facilities 삭제</t>
        </is>
      </c>
      <c r="F6" s="10" t="inlineStr">
        <is>
          <t>✅</t>
        </is>
      </c>
      <c r="G6" s="11">
        <f>IF(F6="✅",1,IF(F6="🔄",0.5,IF(F6="◑",0.7,IF(F6="🔎",0.9,0))))</f>
        <v/>
      </c>
      <c r="H6" s="12" t="inlineStr">
        <is>
          <t>2026-05-23</t>
        </is>
      </c>
      <c r="I6" s="13" t="inlineStr">
        <is>
          <t>2026-05-23</t>
        </is>
      </c>
      <c r="J6" s="13" t="inlineStr">
        <is>
          <t>2026-05-23</t>
        </is>
      </c>
      <c r="K6" s="13" t="inlineStr">
        <is>
          <t>res.facilities 데이터 접근 검증, build 통과</t>
        </is>
      </c>
      <c r="L6" s="9" t="n"/>
    </row>
    <row r="7">
      <c r="A7" s="9" t="inlineStr">
        <is>
          <t>P6</t>
        </is>
      </c>
      <c r="B7" s="9" t="inlineStr">
        <is>
          <t>Critical</t>
        </is>
      </c>
      <c r="C7" s="9" t="inlineStr">
        <is>
          <t>OCR 허위 제거</t>
        </is>
      </c>
      <c r="D7" s="9" t="inlineStr">
        <is>
          <t>provider</t>
        </is>
      </c>
      <c r="E7" s="9" t="inlineStr">
        <is>
          <t>WifiSettings·ServiceRequest runOcrMock 제거 → 정직한 수동입력 UI</t>
        </is>
      </c>
      <c r="F7" s="10" t="inlineStr">
        <is>
          <t>✅</t>
        </is>
      </c>
      <c r="G7" s="11">
        <f>IF(F7="✅",1,IF(F7="🔄",0.5,IF(F7="◑",0.7,IF(F7="🔎",0.9,0))))</f>
        <v/>
      </c>
      <c r="H7" s="12" t="inlineStr">
        <is>
          <t>2026-05-23</t>
        </is>
      </c>
      <c r="I7" s="13" t="inlineStr">
        <is>
          <t>2026-05-23</t>
        </is>
      </c>
      <c r="J7" s="13" t="inlineStr">
        <is>
          <t>2026-05-23</t>
        </is>
      </c>
      <c r="K7" s="13" t="inlineStr">
        <is>
          <t>OCR 잔여 참조 0건 grep, build 통과</t>
        </is>
      </c>
      <c r="L7" s="9" t="n"/>
    </row>
    <row r="8">
      <c r="A8" s="9" t="inlineStr">
        <is>
          <t>P7</t>
        </is>
      </c>
      <c r="B8" s="9" t="inlineStr">
        <is>
          <t>Critical</t>
        </is>
      </c>
      <c r="C8" s="9" t="inlineStr">
        <is>
          <t>결제·구독 실연동</t>
        </is>
      </c>
      <c r="D8" s="9" t="inlineStr">
        <is>
          <t>provider·admin</t>
        </is>
      </c>
      <c r="E8" s="9" t="inlineStr">
        <is>
          <t>카드 localStorage 평문저장 제거(PCI) + BillingService + Payment/Subscription/ServiceRequest 실연동</t>
        </is>
      </c>
      <c r="F8" s="10" t="inlineStr">
        <is>
          <t>✅</t>
        </is>
      </c>
      <c r="G8" s="11">
        <f>IF(F8="✅",1,IF(F8="🔄",0.5,IF(F8="◑",0.7,IF(F8="🔎",0.9,0))))</f>
        <v/>
      </c>
      <c r="H8" s="12" t="inlineStr">
        <is>
          <t>2026-05-23</t>
        </is>
      </c>
      <c r="I8" s="13" t="inlineStr">
        <is>
          <t>2026-05-23</t>
        </is>
      </c>
      <c r="J8" s="13" t="inlineStr">
        <is>
          <t>2026-05-23</t>
        </is>
      </c>
      <c r="K8" s="13" t="inlineStr">
        <is>
          <t>localStorage 카드저장 0건 + PAN/CVC 전송 0건 grep, build 통과</t>
        </is>
      </c>
      <c r="L8" s="9" t="n"/>
    </row>
    <row r="9">
      <c r="A9" s="9" t="inlineStr">
        <is>
          <t>P8</t>
        </is>
      </c>
      <c r="B9" s="9" t="inlineStr">
        <is>
          <t>Critical</t>
        </is>
      </c>
      <c r="C9" s="9" t="inlineStr">
        <is>
          <t>채팅 도메인</t>
        </is>
      </c>
      <c r="D9" s="9" t="inlineStr">
        <is>
          <t>mobile·provider·admin·BE</t>
        </is>
      </c>
      <c r="E9" s="9" t="inlineStr">
        <is>
          <t>provider CustomerChat 실연동 + admin ChatMonitor + BE /api/chat/reports + mobile SSE 재연결</t>
        </is>
      </c>
      <c r="F9" s="14" t="inlineStr">
        <is>
          <t>◑</t>
        </is>
      </c>
      <c r="G9" s="11">
        <f>IF(F9="✅",1,IF(F9="🔄",0.5,IF(F9="◑",0.7,IF(F9="🔎",0.9,0))))</f>
        <v/>
      </c>
      <c r="H9" s="12" t="inlineStr">
        <is>
          <t>2026-05-23</t>
        </is>
      </c>
      <c r="I9" s="13" t="inlineStr">
        <is>
          <t>2026-05-23</t>
        </is>
      </c>
      <c r="J9" s="13" t="inlineStr">
        <is>
          <t>2026-05-23</t>
        </is>
      </c>
      <c r="K9" s="13" t="inlineStr">
        <is>
          <t>번역=P8b 분리. BE 라우트 등록/401 가드 검증. ⚠ app.py 재시작 필요</t>
        </is>
      </c>
      <c r="L9" s="9" t="n"/>
    </row>
    <row r="10">
      <c r="A10" s="9" t="inlineStr">
        <is>
          <t>P8b</t>
        </is>
      </c>
      <c r="B10" s="9" t="inlineStr">
        <is>
          <t>Critical</t>
        </is>
      </c>
      <c r="C10" s="9" t="inlineStr">
        <is>
          <t>채팅 자동 번역</t>
        </is>
      </c>
      <c r="D10" s="9" t="inlineStr">
        <is>
          <t>mobile·provider·BE</t>
        </is>
      </c>
      <c r="E10" s="9" t="inlineStr">
        <is>
          <t>chat_messages 번역 캐시 스키마 + 뷰어별 언어 + translator↔chat 연결</t>
        </is>
      </c>
      <c r="F10" s="15" t="inlineStr">
        <is>
          <t>⬜</t>
        </is>
      </c>
      <c r="G10" s="11">
        <f>IF(F10="✅",1,IF(F10="🔄",0.5,IF(F10="◑",0.7,IF(F10="🔎",0.9,0))))</f>
        <v/>
      </c>
      <c r="H10" s="12" t="inlineStr"/>
      <c r="I10" s="13" t="inlineStr">
        <is>
          <t>키 확보 후</t>
        </is>
      </c>
      <c r="J10" s="13" t="inlineStr"/>
      <c r="K10" s="13" t="inlineStr">
        <is>
          <t>Google/DeepL 키 확보(출시 2단계) 후 진행 — USP 기능</t>
        </is>
      </c>
      <c r="L10" s="9" t="n"/>
    </row>
    <row r="11">
      <c r="A11" s="9" t="inlineStr">
        <is>
          <t>P9</t>
        </is>
      </c>
      <c r="B11" s="9" t="inlineStr">
        <is>
          <t>Critical</t>
        </is>
      </c>
      <c r="C11" s="9" t="inlineStr">
        <is>
          <t>쿠폰·스탬프 실연동</t>
        </is>
      </c>
      <c r="D11" s="9" t="inlineStr">
        <is>
          <t>mobile·provider</t>
        </is>
      </c>
      <c r="E11" s="9" t="inlineStr">
        <is>
          <t>Coupons·Stamps mock→실연동 + 쿠폰 사용 silent error 수정</t>
        </is>
      </c>
      <c r="F11" s="15" t="inlineStr">
        <is>
          <t>⬜</t>
        </is>
      </c>
      <c r="G11" s="11">
        <f>IF(F11="✅",1,IF(F11="🔄",0.5,IF(F11="◑",0.7,IF(F11="🔎",0.9,0))))</f>
        <v/>
      </c>
      <c r="H11" s="12" t="inlineStr"/>
      <c r="I11" s="13" t="inlineStr">
        <is>
          <t>2026-06-중</t>
        </is>
      </c>
      <c r="J11" s="13" t="inlineStr"/>
      <c r="K11" s="13" t="inlineStr">
        <is>
          <t>캐셔 게이트는 P22</t>
        </is>
      </c>
      <c r="L11" s="9" t="n"/>
    </row>
    <row r="12">
      <c r="A12" s="9" t="inlineStr">
        <is>
          <t>P10</t>
        </is>
      </c>
      <c r="B12" s="9" t="inlineStr">
        <is>
          <t>Critical</t>
        </is>
      </c>
      <c r="C12" s="9" t="inlineStr">
        <is>
          <t>알림 도메인</t>
        </is>
      </c>
      <c r="D12" s="9" t="inlineStr">
        <is>
          <t>mobile·provider·admin</t>
        </is>
      </c>
      <c r="E12" s="9" t="inlineStr">
        <is>
          <t>provider Notifications 실연동 + mobile 알림 라우팅 + 알림 탭 보강</t>
        </is>
      </c>
      <c r="F12" s="15" t="inlineStr">
        <is>
          <t>⬜</t>
        </is>
      </c>
      <c r="G12" s="11">
        <f>IF(F12="✅",1,IF(F12="🔄",0.5,IF(F12="◑",0.7,IF(F12="🔎",0.9,0))))</f>
        <v/>
      </c>
      <c r="H12" s="12" t="inlineStr"/>
      <c r="I12" s="13" t="inlineStr">
        <is>
          <t>2026-06-중</t>
        </is>
      </c>
      <c r="J12" s="13" t="inlineStr"/>
      <c r="K12" s="13" t="inlineStr"/>
      <c r="L12" s="9" t="n"/>
    </row>
    <row r="13">
      <c r="A13" s="9" t="inlineStr">
        <is>
          <t>P11</t>
        </is>
      </c>
      <c r="B13" s="9" t="inlineStr">
        <is>
          <t>Critical</t>
        </is>
      </c>
      <c r="C13" s="9" t="inlineStr">
        <is>
          <t>대시보드·직원</t>
        </is>
      </c>
      <c r="D13" s="9" t="inlineStr">
        <is>
          <t>provider·admin·BE</t>
        </is>
      </c>
      <c r="E13" s="9" t="inlineStr">
        <is>
          <t>Dashboard·StaffManagement 실연동 + admin 가짜데이터 제거 + StaffMonitor·CouponStats placeholder 해소</t>
        </is>
      </c>
      <c r="F13" s="15" t="inlineStr">
        <is>
          <t>⬜</t>
        </is>
      </c>
      <c r="G13" s="11">
        <f>IF(F13="✅",1,IF(F13="🔄",0.5,IF(F13="◑",0.7,IF(F13="🔎",0.9,0))))</f>
        <v/>
      </c>
      <c r="H13" s="12" t="inlineStr"/>
      <c r="I13" s="13" t="inlineStr">
        <is>
          <t>2026-06-중</t>
        </is>
      </c>
      <c r="J13" s="13" t="inlineStr"/>
      <c r="K13" s="13" t="inlineStr"/>
      <c r="L13" s="9" t="n"/>
    </row>
    <row r="14">
      <c r="A14" s="9" t="inlineStr">
        <is>
          <t>P12</t>
        </is>
      </c>
      <c r="B14" s="9" t="inlineStr">
        <is>
          <t>Critical</t>
        </is>
      </c>
      <c r="C14" s="9" t="inlineStr">
        <is>
          <t>mobile 심의 직격 화면</t>
        </is>
      </c>
      <c r="D14" s="9" t="inlineStr">
        <is>
          <t>mobile·BE</t>
        </is>
      </c>
      <c r="E14" s="9" t="inlineStr">
        <is>
          <t>consent placeholder 제거 + 동의 로드 실패 복구 + settings dev 정보 제거 + 앱 버전 동적화</t>
        </is>
      </c>
      <c r="F14" s="15" t="inlineStr">
        <is>
          <t>⬜</t>
        </is>
      </c>
      <c r="G14" s="11">
        <f>IF(F14="✅",1,IF(F14="🔄",0.5,IF(F14="◑",0.7,IF(F14="🔎",0.9,0))))</f>
        <v/>
      </c>
      <c r="H14" s="12" t="inlineStr"/>
      <c r="I14" s="13" t="inlineStr">
        <is>
          <t>2026-06-중</t>
        </is>
      </c>
      <c r="J14" s="13" t="inlineStr"/>
      <c r="K14" s="13" t="inlineStr">
        <is>
          <t>심의 직격 — 출시 전 필수</t>
        </is>
      </c>
      <c r="L14" s="9" t="n"/>
    </row>
    <row r="15">
      <c r="A15" s="9" t="inlineStr">
        <is>
          <t>P13</t>
        </is>
      </c>
      <c r="B15" s="9" t="inlineStr">
        <is>
          <t>Critical</t>
        </is>
      </c>
      <c r="C15" s="9" t="inlineStr">
        <is>
          <t>약관 3종</t>
        </is>
      </c>
      <c r="D15" s="9" t="inlineStr">
        <is>
          <t>mobile·provider·admin·BE</t>
        </is>
      </c>
      <c r="E15" s="9" t="inlineStr">
        <is>
          <t>환불·청소년·쿠키 정책 BE/admin/노출 + policy_view 언어 정합</t>
        </is>
      </c>
      <c r="F15" s="15" t="inlineStr">
        <is>
          <t>⬜</t>
        </is>
      </c>
      <c r="G15" s="11">
        <f>IF(F15="✅",1,IF(F15="🔄",0.5,IF(F15="◑",0.7,IF(F15="🔎",0.9,0))))</f>
        <v/>
      </c>
      <c r="H15" s="12" t="inlineStr"/>
      <c r="I15" s="13" t="inlineStr">
        <is>
          <t>2026-06-중</t>
        </is>
      </c>
      <c r="J15" s="13" t="inlineStr"/>
      <c r="K15" s="13" t="inlineStr"/>
      <c r="L15" s="9" t="n"/>
    </row>
    <row r="16">
      <c r="A16" s="9" t="inlineStr">
        <is>
          <t>P14</t>
        </is>
      </c>
      <c r="B16" s="9" t="inlineStr">
        <is>
          <t>WiFi 로밍 B</t>
        </is>
      </c>
      <c r="C16" s="9" t="inlineStr">
        <is>
          <t>WiFi 데이터 모델 재설계</t>
        </is>
      </c>
      <c r="D16" s="9" t="inlineStr">
        <is>
          <t>BE</t>
        </is>
      </c>
      <c r="E16" s="9" t="inlineStr">
        <is>
          <t>wifi_profiles 확장 + beacon_wifi·units·grant·devices 신규 + beacons.role</t>
        </is>
      </c>
      <c r="F16" s="15" t="inlineStr">
        <is>
          <t>⬜</t>
        </is>
      </c>
      <c r="G16" s="11">
        <f>IF(F16="✅",1,IF(F16="🔄",0.5,IF(F16="◑",0.7,IF(F16="🔎",0.9,0))))</f>
        <v/>
      </c>
      <c r="H16" s="12" t="inlineStr"/>
      <c r="I16" s="13" t="inlineStr">
        <is>
          <t>2026-06-말~7월초</t>
        </is>
      </c>
      <c r="J16" s="13" t="inlineStr"/>
      <c r="K16" s="13" t="inlineStr">
        <is>
          <t>P15~P19 기반</t>
        </is>
      </c>
      <c r="L16" s="9" t="n"/>
    </row>
    <row r="17">
      <c r="A17" s="9" t="inlineStr">
        <is>
          <t>P15</t>
        </is>
      </c>
      <c r="B17" s="9" t="inlineStr">
        <is>
          <t>WiFi 로밍 B</t>
        </is>
      </c>
      <c r="C17" s="9" t="inlineStr">
        <is>
          <t>WiFi 등록·연동</t>
        </is>
      </c>
      <c r="D17" s="9" t="inlineStr">
        <is>
          <t>provider·admin·BE</t>
        </is>
      </c>
      <c r="E17" s="9" t="inlineStr">
        <is>
          <t>handshake 묶음 반환 + admin WiFi 등록화면 + provider WifiSettings 실연동 + 비콘 role UI</t>
        </is>
      </c>
      <c r="F17" s="15" t="inlineStr">
        <is>
          <t>⬜</t>
        </is>
      </c>
      <c r="G17" s="11">
        <f>IF(F17="✅",1,IF(F17="🔄",0.5,IF(F17="◑",0.7,IF(F17="🔎",0.9,0))))</f>
        <v/>
      </c>
      <c r="H17" s="12" t="inlineStr"/>
      <c r="I17" s="13" t="inlineStr">
        <is>
          <t>2026-07-초</t>
        </is>
      </c>
      <c r="J17" s="13" t="inlineStr"/>
      <c r="K17" s="13" t="inlineStr">
        <is>
          <t>C10·C13 해소</t>
        </is>
      </c>
      <c r="L17" s="9" t="n"/>
    </row>
    <row r="18">
      <c r="A18" s="9" t="inlineStr">
        <is>
          <t>P16</t>
        </is>
      </c>
      <c r="B18" s="9" t="inlineStr">
        <is>
          <t>WiFi 로밍 B</t>
        </is>
      </c>
      <c r="C18" s="9" t="inlineStr">
        <is>
          <t>mobile WiFi 클라이언트</t>
        </is>
      </c>
      <c r="D18" s="9" t="inlineStr">
        <is>
          <t>mobile</t>
        </is>
      </c>
      <c r="E18" s="9" t="inlineStr">
        <is>
          <t>비콘→WiFi 묶음 fetch·캐시 + BSSID 검증 + 손님 자동/승인 + home 보강</t>
        </is>
      </c>
      <c r="F18" s="15" t="inlineStr">
        <is>
          <t>⬜</t>
        </is>
      </c>
      <c r="G18" s="11">
        <f>IF(F18="✅",1,IF(F18="🔄",0.5,IF(F18="◑",0.7,IF(F18="🔎",0.9,0))))</f>
        <v/>
      </c>
      <c r="H18" s="12" t="inlineStr"/>
      <c r="I18" s="13" t="inlineStr">
        <is>
          <t>2026-07-초</t>
        </is>
      </c>
      <c r="J18" s="13" t="inlineStr"/>
      <c r="K18" s="13" t="inlineStr"/>
      <c r="L18" s="9" t="n"/>
    </row>
    <row r="19">
      <c r="A19" s="9" t="inlineStr">
        <is>
          <t>P17</t>
        </is>
      </c>
      <c r="B19" s="9" t="inlineStr">
        <is>
          <t>WiFi 로밍 B</t>
        </is>
      </c>
      <c r="C19" s="9" t="inlineStr">
        <is>
          <t>.mobileconfig 다건 설치</t>
        </is>
      </c>
      <c r="D19" s="9" t="inlineStr">
        <is>
          <t>BE·mobile·iOS</t>
        </is>
      </c>
      <c r="E19" s="9" t="inlineStr">
        <is>
          <t>.mobileconfig 생성·다건 설치 (서명은 인증서 도착 후)</t>
        </is>
      </c>
      <c r="F19" s="15" t="inlineStr">
        <is>
          <t>⬜</t>
        </is>
      </c>
      <c r="G19" s="11">
        <f>IF(F19="✅",1,IF(F19="🔄",0.5,IF(F19="◑",0.7,IF(F19="🔎",0.9,0))))</f>
        <v/>
      </c>
      <c r="H19" s="12" t="inlineStr"/>
      <c r="I19" s="13" t="inlineStr">
        <is>
          <t>2026-07-중</t>
        </is>
      </c>
      <c r="J19" s="13" t="inlineStr"/>
      <c r="K19" s="13" t="inlineStr">
        <is>
          <t>서명은 Apple 인증서 확보 후 적용</t>
        </is>
      </c>
      <c r="L19" s="9" t="n"/>
    </row>
    <row r="20">
      <c r="A20" s="9" t="inlineStr">
        <is>
          <t>P18</t>
        </is>
      </c>
      <c r="B20" s="9" t="inlineStr">
        <is>
          <t>WiFi 로밍 B</t>
        </is>
      </c>
      <c r="C20" s="9" t="inlineStr">
        <is>
          <t>credential_mode managed</t>
        </is>
      </c>
      <c r="D20" s="9" t="inlineStr">
        <is>
          <t>BE·provider·mobile</t>
        </is>
      </c>
      <c r="E20" s="9" t="inlineStr">
        <is>
          <t>비번 교체 리마인드 + 인가 손님 자동 전파</t>
        </is>
      </c>
      <c r="F20" s="15" t="inlineStr">
        <is>
          <t>⬜</t>
        </is>
      </c>
      <c r="G20" s="11">
        <f>IF(F20="✅",1,IF(F20="🔄",0.5,IF(F20="◑",0.7,IF(F20="🔎",0.9,0))))</f>
        <v/>
      </c>
      <c r="H20" s="12" t="inlineStr"/>
      <c r="I20" s="13" t="inlineStr">
        <is>
          <t>2026-07-중</t>
        </is>
      </c>
      <c r="J20" s="13" t="inlineStr"/>
      <c r="K20" s="13" t="inlineStr">
        <is>
          <t>v1 flag — 코드만 완성, UI 비공개</t>
        </is>
      </c>
      <c r="L20" s="9" t="n"/>
    </row>
    <row r="21">
      <c r="A21" s="9" t="inlineStr">
        <is>
          <t>P19</t>
        </is>
      </c>
      <c r="B21" s="9" t="inlineStr">
        <is>
          <t>WiFi 로밍 B</t>
        </is>
      </c>
      <c r="C21" s="9" t="inlineStr">
        <is>
          <t>units/grant 관리 화면</t>
        </is>
      </c>
      <c r="D21" s="9" t="inlineStr">
        <is>
          <t>admin·provider·BE</t>
        </is>
      </c>
      <c r="E21" s="9" t="inlineStr">
        <is>
          <t>호실·자리 시간제 권한 관리 UI</t>
        </is>
      </c>
      <c r="F21" s="15" t="inlineStr">
        <is>
          <t>⬜</t>
        </is>
      </c>
      <c r="G21" s="11">
        <f>IF(F21="✅",1,IF(F21="🔄",0.5,IF(F21="◑",0.7,IF(F21="🔎",0.9,0))))</f>
        <v/>
      </c>
      <c r="H21" s="12" t="inlineStr"/>
      <c r="I21" s="13" t="inlineStr">
        <is>
          <t>2026-07-중</t>
        </is>
      </c>
      <c r="J21" s="13" t="inlineStr"/>
      <c r="K21" s="13" t="inlineStr">
        <is>
          <t>v1 flag — 코드만 완성, UI 비공개</t>
        </is>
      </c>
      <c r="L21" s="9" t="n"/>
    </row>
    <row r="22">
      <c r="A22" s="9" t="inlineStr">
        <is>
          <t>P20</t>
        </is>
      </c>
      <c r="B22" s="9" t="inlineStr">
        <is>
          <t>심의 마무리</t>
        </is>
      </c>
      <c r="C22" s="9" t="inlineStr">
        <is>
          <t>앱 버전관리</t>
        </is>
      </c>
      <c r="D22" s="9" t="inlineStr">
        <is>
          <t>admin·mobile</t>
        </is>
      </c>
      <c r="E22" s="9" t="inlineStr">
        <is>
          <t>admin app-versions UI(BE 완성) + mobile OS 최소버전 게이트</t>
        </is>
      </c>
      <c r="F22" s="15" t="inlineStr">
        <is>
          <t>⬜</t>
        </is>
      </c>
      <c r="G22" s="11">
        <f>IF(F22="✅",1,IF(F22="🔄",0.5,IF(F22="◑",0.7,IF(F22="🔎",0.9,0))))</f>
        <v/>
      </c>
      <c r="H22" s="12" t="inlineStr"/>
      <c r="I22" s="13" t="inlineStr">
        <is>
          <t>2026-07-중</t>
        </is>
      </c>
      <c r="J22" s="13" t="inlineStr"/>
      <c r="K22" s="13" t="inlineStr"/>
      <c r="L22" s="9" t="n"/>
    </row>
    <row r="23">
      <c r="A23" s="9" t="inlineStr">
        <is>
          <t>P21</t>
        </is>
      </c>
      <c r="B23" s="9" t="inlineStr">
        <is>
          <t>심의 마무리</t>
        </is>
      </c>
      <c r="C23" s="9" t="inlineStr">
        <is>
          <t>심의 메타 자산</t>
        </is>
      </c>
      <c r="D23" s="9" t="inlineStr">
        <is>
          <t>mobile·iOS</t>
        </is>
      </c>
      <c r="E23" s="9" t="inlineStr">
        <is>
          <t>PrivacyInfo.xcprivacy + Bundle ID 확정 + Android Photo Picker + 계정삭제 웹 URL</t>
        </is>
      </c>
      <c r="F23" s="15" t="inlineStr">
        <is>
          <t>⬜</t>
        </is>
      </c>
      <c r="G23" s="11">
        <f>IF(F23="✅",1,IF(F23="🔄",0.5,IF(F23="◑",0.7,IF(F23="🔎",0.9,0))))</f>
        <v/>
      </c>
      <c r="H23" s="12" t="inlineStr"/>
      <c r="I23" s="13" t="inlineStr">
        <is>
          <t>2026-07-중</t>
        </is>
      </c>
      <c r="J23" s="13" t="inlineStr"/>
      <c r="K23" s="13" t="inlineStr">
        <is>
          <t>심의 reject 방지 필수</t>
        </is>
      </c>
      <c r="L23" s="9" t="n"/>
    </row>
    <row r="24">
      <c r="A24" s="9" t="inlineStr">
        <is>
          <t>P22</t>
        </is>
      </c>
      <c r="B24" s="9" t="inlineStr">
        <is>
          <t>회원 QR 운영</t>
        </is>
      </c>
      <c r="C24" s="9" t="inlineStr">
        <is>
          <t>쿠폰·스탬프 회원 QR</t>
        </is>
      </c>
      <c r="D24" s="9" t="inlineStr">
        <is>
          <t>mobile·provider·BE</t>
        </is>
      </c>
      <c r="E24" s="9" t="inlineStr">
        <is>
          <t>회원 QR(URL 토큰) + provider 스캔/코드입력 → 적립·사용 + 친구초대 QR/링크</t>
        </is>
      </c>
      <c r="F24" s="15" t="inlineStr">
        <is>
          <t>⬜</t>
        </is>
      </c>
      <c r="G24" s="11">
        <f>IF(F24="✅",1,IF(F24="🔄",0.5,IF(F24="◑",0.7,IF(F24="🔎",0.9,0))))</f>
        <v/>
      </c>
      <c r="H24" s="12" t="inlineStr"/>
      <c r="I24" s="13" t="inlineStr">
        <is>
          <t>2026-07-초~중</t>
        </is>
      </c>
      <c r="J24" s="13" t="inlineStr"/>
      <c r="K24" s="13" t="inlineStr">
        <is>
          <t>P9 이후 병행</t>
        </is>
      </c>
      <c r="L24" s="9" t="n"/>
    </row>
  </sheetData>
  <dataValidations count="1">
    <dataValidation sqref="F2:F24" showDropDown="0" showInputMessage="0" showErrorMessage="0" allowBlank="1" type="list">
      <formula1>"⬜,🔄,🔎,◑,✅"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8" customWidth="1" min="4" max="4"/>
    <col width="40" customWidth="1" min="5" max="5"/>
  </cols>
  <sheetData>
    <row r="1" ht="28" customHeight="1">
      <c r="A1" s="8" t="inlineStr">
        <is>
          <t>단계</t>
        </is>
      </c>
      <c r="B1" s="8" t="inlineStr">
        <is>
          <t>내용</t>
        </is>
      </c>
      <c r="C1" s="8" t="inlineStr">
        <is>
          <t>예상 기간</t>
        </is>
      </c>
      <c r="D1" s="8" t="inlineStr">
        <is>
          <t>누적</t>
        </is>
      </c>
      <c r="E1" s="8" t="inlineStr">
        <is>
          <t>비고</t>
        </is>
      </c>
    </row>
    <row r="2">
      <c r="A2" s="9" t="inlineStr">
        <is>
          <t>인프라</t>
        </is>
      </c>
      <c r="B2" s="9" t="inlineStr">
        <is>
          <t>P1~P3</t>
        </is>
      </c>
      <c r="C2" s="9" t="inlineStr">
        <is>
          <t>~4일</t>
        </is>
      </c>
      <c r="D2" s="9" t="inlineStr">
        <is>
          <t>5월 말</t>
        </is>
      </c>
      <c r="E2" s="9" t="inlineStr">
        <is>
          <t>완료</t>
        </is>
      </c>
    </row>
    <row r="3">
      <c r="A3" s="9" t="inlineStr">
        <is>
          <t>Critical 도메인</t>
        </is>
      </c>
      <c r="B3" s="9" t="inlineStr">
        <is>
          <t>P4~P13 (10 PR)</t>
        </is>
      </c>
      <c r="C3" s="9" t="inlineStr">
        <is>
          <t>~2주</t>
        </is>
      </c>
      <c r="D3" s="9" t="inlineStr">
        <is>
          <t>6월 중순</t>
        </is>
      </c>
      <c r="E3" s="9" t="inlineStr">
        <is>
          <t>P4~P8 완료, 나머지 진행 예정</t>
        </is>
      </c>
    </row>
    <row r="4">
      <c r="A4" s="9" t="inlineStr">
        <is>
          <t>WiFi 로밍 (B 풀스코프)</t>
        </is>
      </c>
      <c r="B4" s="9" t="inlineStr">
        <is>
          <t>P14~P19 (6 PR)</t>
        </is>
      </c>
      <c r="C4" s="9" t="inlineStr">
        <is>
          <t>~2.5~3주</t>
        </is>
      </c>
      <c r="D4" s="9" t="inlineStr">
        <is>
          <t>7월 초~중순</t>
        </is>
      </c>
      <c r="E4" s="9" t="inlineStr">
        <is>
          <t>feature flag로 P18·P19 v1 비공개</t>
        </is>
      </c>
    </row>
    <row r="5">
      <c r="A5" s="9" t="inlineStr">
        <is>
          <t>쿠폰·스탬프 회원 QR</t>
        </is>
      </c>
      <c r="B5" s="9" t="inlineStr">
        <is>
          <t>P22 (P9 이후 병행)</t>
        </is>
      </c>
      <c r="C5" s="9" t="inlineStr">
        <is>
          <t>~1주</t>
        </is>
      </c>
      <c r="D5" s="9" t="inlineStr">
        <is>
          <t>7월 초~중순</t>
        </is>
      </c>
      <c r="E5" s="9" t="inlineStr"/>
    </row>
    <row r="6">
      <c r="A6" s="9" t="inlineStr">
        <is>
          <t>심의 마무리</t>
        </is>
      </c>
      <c r="B6" s="9" t="inlineStr">
        <is>
          <t>P20~P21</t>
        </is>
      </c>
      <c r="C6" s="9" t="inlineStr">
        <is>
          <t>~3일</t>
        </is>
      </c>
      <c r="D6" s="9" t="inlineStr">
        <is>
          <t>7월 중순</t>
        </is>
      </c>
      <c r="E6" s="9" t="inlineStr"/>
    </row>
    <row r="7">
      <c r="A7" s="9" t="inlineStr">
        <is>
          <t>Phase 2~4 테스트·시드</t>
        </is>
      </c>
      <c r="B7" s="9" t="inlineStr">
        <is>
          <t>테스트데이터 시드 + 페르소나 검증</t>
        </is>
      </c>
      <c r="C7" s="9" t="inlineStr">
        <is>
          <t>~1.5주</t>
        </is>
      </c>
      <c r="D7" s="9" t="inlineStr">
        <is>
          <t>7월 중순~하순</t>
        </is>
      </c>
      <c r="E7" s="9" t="inlineStr"/>
    </row>
    <row r="8">
      <c r="A8" s="9" t="inlineStr">
        <is>
          <t>Phase 5 제출 준비</t>
        </is>
      </c>
      <c r="B8" s="9" t="inlineStr">
        <is>
          <t>빌드 + 스토어 메타데이터</t>
        </is>
      </c>
      <c r="C8" s="9" t="inlineStr">
        <is>
          <t>며칠</t>
        </is>
      </c>
      <c r="D8" s="9" t="inlineStr">
        <is>
          <t>7월 하순</t>
        </is>
      </c>
      <c r="E8" s="9" t="inlineStr"/>
    </row>
    <row r="9">
      <c r="A9" s="9" t="inlineStr">
        <is>
          <t>출시</t>
        </is>
      </c>
      <c r="B9" s="9" t="inlineStr">
        <is>
          <t>앱스토어/플레이 공개</t>
        </is>
      </c>
      <c r="C9" s="9" t="inlineStr">
        <is>
          <t>—</t>
        </is>
      </c>
      <c r="D9" s="9" t="inlineStr">
        <is>
          <t>7월 하순~8월 초</t>
        </is>
      </c>
      <c r="E9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2026-05-23T01:03:54Z</dcterms:created>
  <dcterms:modified xmlns:dcterms="http://purl.org/dc/terms/" xmlns:xsi="http://www.w3.org/2001/XMLSchema-instance" xsi:type="dcterms:W3CDTF">2026-05-23T01:03:54Z</dcterms:modified>
</cp:coreProperties>
</file>