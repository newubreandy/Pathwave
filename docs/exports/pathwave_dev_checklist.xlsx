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능별 전체 현황" sheetId="2" state="visible" r:id="rId2"/>
    <sheet xmlns:r="http://schemas.openxmlformats.org/officeDocument/2006/relationships" name="Phase 1 PR 체크리스트" sheetId="3" state="visible" r:id="rId3"/>
    <sheet xmlns:r="http://schemas.openxmlformats.org/officeDocument/2006/relationships" name="단계별 일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-0.0%;-"/>
    <numFmt numFmtId="165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</font>
    <font>
      <name val="맑은 고딕"/>
      <b val="1"/>
      <color rgb="00FFFFFF"/>
      <sz val="11"/>
    </font>
    <font>
      <name val="맑은 고딕"/>
      <color rgb="000000FF"/>
    </font>
    <font>
      <name val="맑은 고딕"/>
      <color rgb="00008000"/>
    </font>
    <font>
      <name val="맑은 고딕"/>
      <b val="1"/>
      <color rgb="001F4E78"/>
    </font>
    <font>
      <name val="맑은 고딕"/>
      <color rgb="00505050"/>
    </font>
    <font>
      <name val="맑은 고딕"/>
      <color theme="1"/>
      <sz val="11"/>
    </font>
  </fonts>
  <fills count="9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3" fillId="7" borderId="1" applyAlignment="1" pivotButton="0" quotePrefix="0" xfId="0">
      <alignment horizontal="center"/>
    </xf>
    <xf numFmtId="0" fontId="8" fillId="0" borderId="1" pivotButton="0" quotePrefix="0" xfId="0"/>
    <xf numFmtId="0" fontId="5" fillId="0" borderId="1" pivotButton="0" quotePrefix="0" xfId="0"/>
    <xf numFmtId="164" fontId="5" fillId="8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PathWave 개발 체크리스트 요약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지표</t>
        </is>
      </c>
      <c r="B3" s="3" t="inlineStr">
        <is>
          <t>값</t>
        </is>
      </c>
      <c r="C3" s="2" t="n"/>
    </row>
    <row r="4">
      <c r="A4" s="4" t="inlineStr">
        <is>
          <t>총 PR 수 (Phase 1)</t>
        </is>
      </c>
      <c r="B4" s="5">
        <f>COUNTA('Phase 1 PR 체크리스트'!A2:A30)</f>
        <v/>
      </c>
      <c r="C4" s="2" t="n"/>
    </row>
    <row r="5">
      <c r="A5" s="4" t="inlineStr">
        <is>
          <t>완료 (✅)</t>
        </is>
      </c>
      <c r="B5" s="5">
        <f>COUNTIF('Phase 1 PR 체크리스트'!F2:F30,"✅")</f>
        <v/>
      </c>
      <c r="C5" s="2" t="n"/>
    </row>
    <row r="6">
      <c r="A6" s="4" t="inlineStr">
        <is>
          <t>부분 완료 (◑)</t>
        </is>
      </c>
      <c r="B6" s="5">
        <f>COUNTIF('Phase 1 PR 체크리스트'!F2:F30,"◑")</f>
        <v/>
      </c>
      <c r="C6" s="2" t="n"/>
    </row>
    <row r="7">
      <c r="A7" s="4" t="inlineStr">
        <is>
          <t>진행중 (🔄)</t>
        </is>
      </c>
      <c r="B7" s="5">
        <f>COUNTIF('Phase 1 PR 체크리스트'!F2:F30,"🔄")</f>
        <v/>
      </c>
      <c r="C7" s="2" t="n"/>
    </row>
    <row r="8">
      <c r="A8" s="4" t="inlineStr">
        <is>
          <t>검토중 (🔎)</t>
        </is>
      </c>
      <c r="B8" s="5">
        <f>COUNTIF('Phase 1 PR 체크리스트'!F2:F30,"🔎")</f>
        <v/>
      </c>
      <c r="C8" s="2" t="n"/>
    </row>
    <row r="9">
      <c r="A9" s="4" t="inlineStr">
        <is>
          <t>대기 (⬜)</t>
        </is>
      </c>
      <c r="B9" s="5">
        <f>COUNTIF('Phase 1 PR 체크리스트'!F2:F30,"⬜")</f>
        <v/>
      </c>
      <c r="C9" s="2" t="n"/>
    </row>
    <row r="10">
      <c r="A10" s="4" t="inlineStr">
        <is>
          <t>가중 평균 진척율</t>
        </is>
      </c>
      <c r="B10" s="6">
        <f>AVERAGE('Phase 1 PR 체크리스트'!G2:G30)</f>
        <v/>
      </c>
      <c r="C10" s="2" t="n"/>
    </row>
    <row r="11">
      <c r="A11" s="4" t="inlineStr">
        <is>
          <t>업데이트 일자</t>
        </is>
      </c>
      <c r="B11" s="4" t="inlineStr">
        <is>
          <t>2026-05-23</t>
        </is>
      </c>
      <c r="C11" s="2" t="n"/>
    </row>
    <row r="12">
      <c r="A12" s="4" t="inlineStr">
        <is>
          <t>외부 서비스 신청 시작</t>
        </is>
      </c>
      <c r="B12" s="4" t="inlineStr">
        <is>
          <t>2026-06-02 주 (법인카드 수취 후)</t>
        </is>
      </c>
      <c r="C12" s="2" t="n"/>
    </row>
    <row r="13">
      <c r="A13" s="4" t="inlineStr">
        <is>
          <t>목표 출시일</t>
        </is>
      </c>
      <c r="B13" s="4" t="inlineStr">
        <is>
          <t>2026-07-하순~8월 초</t>
        </is>
      </c>
      <c r="C13" s="2" t="n"/>
    </row>
    <row r="14">
      <c r="A14" s="7" t="inlineStr">
        <is>
          <t>사용 방법</t>
        </is>
      </c>
      <c r="B14" s="2" t="n"/>
      <c r="C14" s="2" t="n"/>
    </row>
    <row r="15">
      <c r="A15" s="8" t="inlineStr">
        <is>
          <t>① "기능별 전체 현황": 도메인별 이전 완료/Phase 1/남은 작업을 한눈에</t>
        </is>
      </c>
      <c r="B15" s="2" t="n"/>
      <c r="C15" s="2" t="n"/>
    </row>
    <row r="16">
      <c r="A16" s="8" t="inlineStr">
        <is>
          <t>② "Phase 1 PR 체크리스트": F열 상태 드롭다운(⬜→🔄→🔎→◑→✅) 갱신</t>
        </is>
      </c>
      <c r="B16" s="2" t="n"/>
      <c r="C16" s="2" t="n"/>
    </row>
    <row r="17">
      <c r="A17" s="8" t="inlineStr">
        <is>
          <t>③ 진척율 자동 계산: ⬜=0% · 🔄=50% · ◑=70% · 🔎=90% · ✅=100%</t>
        </is>
      </c>
      <c r="B17" s="2" t="n"/>
      <c r="C17" s="2" t="n"/>
    </row>
    <row r="18">
      <c r="A18" s="8" t="inlineStr">
        <is>
          <t>④ "단계별 일정": 출시까지의 큰 그림 일정</t>
        </is>
      </c>
      <c r="B18" s="2" t="n"/>
      <c r="C18" s="2" t="n"/>
    </row>
    <row r="19">
      <c r="A19" s="8" t="inlineStr">
        <is>
          <t>⑤ 요약은 PR 체크리스트 상태를 실시간 집계</t>
        </is>
      </c>
      <c r="B19" s="2" t="n"/>
      <c r="C19" s="2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60" customWidth="1" min="4" max="4"/>
    <col width="8" customWidth="1" min="5" max="5"/>
    <col width="30" customWidth="1" min="6" max="6"/>
  </cols>
  <sheetData>
    <row r="1">
      <c r="A1" s="1" t="inlineStr">
        <is>
          <t>PathWave 기능별 전체 작업 현황 — 이전 완료 + Phase 1 진행 + 남은 작업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8" customHeight="1">
      <c r="A3" s="9" t="inlineStr">
        <is>
          <t>도메인/기능</t>
        </is>
      </c>
      <c r="B3" s="9" t="inlineStr">
        <is>
          <t>단계</t>
        </is>
      </c>
      <c r="C3" s="9" t="inlineStr">
        <is>
          <t>항목</t>
        </is>
      </c>
      <c r="D3" s="9" t="inlineStr">
        <is>
          <t>내용</t>
        </is>
      </c>
      <c r="E3" s="9" t="inlineStr">
        <is>
          <t>상태</t>
        </is>
      </c>
      <c r="F3" s="9" t="inlineStr">
        <is>
          <t>비고</t>
        </is>
      </c>
    </row>
    <row r="4">
      <c r="A4" s="10" t="inlineStr">
        <is>
          <t>인증/회원가입</t>
        </is>
      </c>
      <c r="B4" s="11" t="inlineStr">
        <is>
          <t>이전 완료</t>
        </is>
      </c>
      <c r="C4" s="12" t="inlineStr">
        <is>
          <t>PR #1~#5, #28, #45, #55</t>
        </is>
      </c>
      <c r="D4" s="12" t="inlineStr">
        <is>
          <t>이메일 가입·로그인, 5종 소셜 로그인(Google/Apple/Facebook/Kakao/Naver), 동의 단계, 미성년자 보호, 회원 탈퇴 흐름</t>
        </is>
      </c>
      <c r="E4" s="11" t="inlineStr">
        <is>
          <t>✅</t>
        </is>
      </c>
      <c r="F4" s="12" t="inlineStr">
        <is>
          <t>코드 완료, 실 키는 서비스 가입 후</t>
        </is>
      </c>
    </row>
    <row r="5">
      <c r="A5" s="12" t="inlineStr">
        <is>
          <t>인증/회원가입</t>
        </is>
      </c>
      <c r="B5" s="13" t="inlineStr">
        <is>
          <t>Phase 1</t>
        </is>
      </c>
      <c r="C5" s="12" t="inlineStr">
        <is>
          <t>P4</t>
        </is>
      </c>
      <c r="D5" s="12" t="inlineStr">
        <is>
          <t>dev 인증 우회 제거 + 실 로그인폼 복구 + /forgot-password 정식 구현</t>
        </is>
      </c>
      <c r="E5" s="11" t="inlineStr">
        <is>
          <t>✅</t>
        </is>
      </c>
      <c r="F5" s="12" t="inlineStr">
        <is>
          <t>BE 2 API + provider 페이지</t>
        </is>
      </c>
    </row>
    <row r="6">
      <c r="A6" s="12" t="inlineStr">
        <is>
          <t>인증/회원가입</t>
        </is>
      </c>
      <c r="B6" s="14" t="inlineStr">
        <is>
          <t>남은</t>
        </is>
      </c>
      <c r="C6" s="12" t="inlineStr">
        <is>
          <t>실 키 검증</t>
        </is>
      </c>
      <c r="D6" s="12" t="inlineStr">
        <is>
          <t>Firebase·카카오·네이버 실 키로 통합 테스트 (서비스 가입 후)</t>
        </is>
      </c>
      <c r="E6" s="14" t="inlineStr">
        <is>
          <t>⬜</t>
        </is>
      </c>
      <c r="F6" s="12" t="inlineStr">
        <is>
          <t>외부 서비스 활성화 후</t>
        </is>
      </c>
    </row>
    <row r="7">
      <c r="A7" s="10" t="inlineStr">
        <is>
          <t>매장 정보</t>
        </is>
      </c>
      <c r="B7" s="11" t="inlineStr">
        <is>
          <t>이전 완료</t>
        </is>
      </c>
      <c r="C7" s="12" t="inlineStr">
        <is>
          <t>PR #2, #14, #16</t>
        </is>
      </c>
      <c r="D7" s="12" t="inlineStr">
        <is>
          <t>매장 CRUD, 이미지 갤러리, 다국어 번역 캐시</t>
        </is>
      </c>
      <c r="E7" s="11" t="inlineStr">
        <is>
          <t>✅</t>
        </is>
      </c>
      <c r="F7" s="12" t="inlineStr"/>
    </row>
    <row r="8">
      <c r="A8" s="12" t="inlineStr">
        <is>
          <t>매장 정보</t>
        </is>
      </c>
      <c r="B8" s="13" t="inlineStr">
        <is>
          <t>Phase 1</t>
        </is>
      </c>
      <c r="C8" s="12" t="inlineStr">
        <is>
          <t>P5</t>
        </is>
      </c>
      <c r="D8" s="12" t="inlineStr">
        <is>
          <t>StoreInfo 하드코딩 제거 + StoreService 실연동 + PwFooter + dead code 정리</t>
        </is>
      </c>
      <c r="E8" s="11" t="inlineStr">
        <is>
          <t>✅</t>
        </is>
      </c>
      <c r="F8" s="12" t="inlineStr">
        <is>
          <t>백엔드 schema 부재(category/holidays) → P8c 별도 작업</t>
        </is>
      </c>
    </row>
    <row r="9">
      <c r="A9" s="12" t="inlineStr">
        <is>
          <t>매장 정보</t>
        </is>
      </c>
      <c r="B9" s="14" t="inlineStr">
        <is>
          <t>남은</t>
        </is>
      </c>
      <c r="C9" s="12" t="inlineStr">
        <is>
          <t>P8c (별도 작업 칩)</t>
        </is>
      </c>
      <c r="D9" s="12" t="inlineStr">
        <is>
          <t>facilities 스키마 category/holidays/detailAddress 컬럼 추가 또는 UI 정리</t>
        </is>
      </c>
      <c r="E9" s="14" t="inlineStr">
        <is>
          <t>⬜</t>
        </is>
      </c>
      <c r="F9" s="12" t="inlineStr">
        <is>
          <t>결정 필요</t>
        </is>
      </c>
    </row>
    <row r="10">
      <c r="A10" s="10" t="inlineStr">
        <is>
          <t>결제·구독</t>
        </is>
      </c>
      <c r="B10" s="11" t="inlineStr">
        <is>
          <t>이전 완료</t>
        </is>
      </c>
      <c r="C10" s="12" t="inlineStr">
        <is>
          <t>PR #39, #41, #43~46, #56</t>
        </is>
      </c>
      <c r="D10" s="12" t="inlineStr">
        <is>
          <t>billing API 전체(cards/subscriptions/payments/refund/extend), PG provider 추상화</t>
        </is>
      </c>
      <c r="E10" s="11" t="inlineStr">
        <is>
          <t>✅</t>
        </is>
      </c>
      <c r="F10" s="12" t="inlineStr">
        <is>
          <t>백엔드 sim 모드 — 토스 키 활성화 시 운영</t>
        </is>
      </c>
    </row>
    <row r="11">
      <c r="A11" s="12" t="inlineStr">
        <is>
          <t>결제·구독</t>
        </is>
      </c>
      <c r="B11" s="13" t="inlineStr">
        <is>
          <t>Phase 1</t>
        </is>
      </c>
      <c r="C11" s="12" t="inlineStr">
        <is>
          <t>P7</t>
        </is>
      </c>
      <c r="D11" s="12" t="inlineStr">
        <is>
          <t>provider 카드 평문저장 제거(PCI) + BillingService + Payment/Subscription/ServiceRequest 실연동</t>
        </is>
      </c>
      <c r="E11" s="11" t="inlineStr">
        <is>
          <t>✅</t>
        </is>
      </c>
      <c r="F11" s="12" t="inlineStr">
        <is>
          <t>admin Payments는 이미 정합</t>
        </is>
      </c>
    </row>
    <row r="12">
      <c r="A12" s="12" t="inlineStr">
        <is>
          <t>결제·구독</t>
        </is>
      </c>
      <c r="B12" s="14" t="inlineStr">
        <is>
          <t>남은</t>
        </is>
      </c>
      <c r="C12" s="12" t="inlineStr">
        <is>
          <t>토스 키 활성화</t>
        </is>
      </c>
      <c r="D12" s="12" t="inlineStr">
        <is>
          <t>토스페이먼츠 가맹점 심사 통과 후 PG_PROVIDER=toss + 실 결제 검증</t>
        </is>
      </c>
      <c r="E12" s="14" t="inlineStr">
        <is>
          <t>⬜</t>
        </is>
      </c>
      <c r="F12" s="12" t="inlineStr">
        <is>
          <t>외부(심사 1~2주)</t>
        </is>
      </c>
    </row>
    <row r="13">
      <c r="A13" s="10" t="inlineStr">
        <is>
          <t>쿠폰·스탬프</t>
        </is>
      </c>
      <c r="B13" s="11" t="inlineStr">
        <is>
          <t>이전 완료</t>
        </is>
      </c>
      <c r="C13" s="12" t="inlineStr">
        <is>
          <t>PR #6, #18, #22, #29</t>
        </is>
      </c>
      <c r="D13" s="12" t="inlineStr">
        <is>
          <t>쿠폰 발행/사용/만료, 스탬프 적립/리워드, 정책 설정</t>
        </is>
      </c>
      <c r="E13" s="11" t="inlineStr">
        <is>
          <t>✅</t>
        </is>
      </c>
      <c r="F13" s="12" t="inlineStr"/>
    </row>
    <row r="14">
      <c r="A14" s="12" t="inlineStr">
        <is>
          <t>쿠폰·스탬프</t>
        </is>
      </c>
      <c r="B14" s="13" t="inlineStr">
        <is>
          <t>Phase 1</t>
        </is>
      </c>
      <c r="C14" s="12" t="inlineStr">
        <is>
          <t>P9</t>
        </is>
      </c>
      <c r="D14" s="12" t="inlineStr">
        <is>
          <t>provider Coupons·Stamps mock→실연동 + mobile 쿠폰 사용 silent error 수정</t>
        </is>
      </c>
      <c r="E14" s="14" t="inlineStr">
        <is>
          <t>⬜</t>
        </is>
      </c>
      <c r="F14" s="12" t="inlineStr"/>
    </row>
    <row r="15">
      <c r="A15" s="12" t="inlineStr">
        <is>
          <t>쿠폰·스탬프</t>
        </is>
      </c>
      <c r="B15" s="13" t="inlineStr">
        <is>
          <t>Phase 1</t>
        </is>
      </c>
      <c r="C15" s="12" t="inlineStr">
        <is>
          <t>P22</t>
        </is>
      </c>
      <c r="D15" s="12" t="inlineStr">
        <is>
          <t>회원 QR (URL 토큰 인코딩) + provider 스캔/코드입력 → 적립/사용 + 친구초대 QR/링크</t>
        </is>
      </c>
      <c r="E15" s="14" t="inlineStr">
        <is>
          <t>⬜</t>
        </is>
      </c>
      <c r="F15" s="12" t="inlineStr">
        <is>
          <t>P9 이후 병행</t>
        </is>
      </c>
    </row>
    <row r="16">
      <c r="A16" s="10" t="inlineStr">
        <is>
          <t>채팅</t>
        </is>
      </c>
      <c r="B16" s="11" t="inlineStr">
        <is>
          <t>이전 완료</t>
        </is>
      </c>
      <c r="C16" s="12" t="inlineStr">
        <is>
          <t>PR #16, #21, #142</t>
        </is>
      </c>
      <c r="D16" s="12" t="inlineStr">
        <is>
          <t>1:1 채팅 rooms/messages, SSE 스트림, 신고/차단</t>
        </is>
      </c>
      <c r="E16" s="11" t="inlineStr">
        <is>
          <t>✅</t>
        </is>
      </c>
      <c r="F16" s="12" t="inlineStr"/>
    </row>
    <row r="17">
      <c r="A17" s="12" t="inlineStr">
        <is>
          <t>채팅</t>
        </is>
      </c>
      <c r="B17" s="13" t="inlineStr">
        <is>
          <t>Phase 1</t>
        </is>
      </c>
      <c r="C17" s="12" t="inlineStr">
        <is>
          <t>P8 (◑)</t>
        </is>
      </c>
      <c r="D17" s="12" t="inlineStr">
        <is>
          <t>provider CustomerChat 실연동 + admin ChatMonitor + BE /api/chat/reports + mobile SSE 재연결</t>
        </is>
      </c>
      <c r="E17" s="15" t="inlineStr">
        <is>
          <t>◑</t>
        </is>
      </c>
      <c r="F17" s="12" t="inlineStr">
        <is>
          <t>⚠ app.py 재시작 후 활성</t>
        </is>
      </c>
    </row>
    <row r="18">
      <c r="A18" s="12" t="inlineStr">
        <is>
          <t>채팅</t>
        </is>
      </c>
      <c r="B18" s="14" t="inlineStr">
        <is>
          <t>남은</t>
        </is>
      </c>
      <c r="C18" s="12" t="inlineStr">
        <is>
          <t>P8b</t>
        </is>
      </c>
      <c r="D18" s="12" t="inlineStr">
        <is>
          <t>채팅 자동 번역(번역 캐시 스키마 + 뷰어별 언어 + translator 연결)</t>
        </is>
      </c>
      <c r="E18" s="14" t="inlineStr">
        <is>
          <t>⬜</t>
        </is>
      </c>
      <c r="F18" s="12" t="inlineStr">
        <is>
          <t>DeepL/Google Translate 키 확보 후</t>
        </is>
      </c>
    </row>
    <row r="19">
      <c r="A19" s="10" t="inlineStr">
        <is>
          <t>알림 (Inbox + Push)</t>
        </is>
      </c>
      <c r="B19" s="11" t="inlineStr">
        <is>
          <t>이전 완료</t>
        </is>
      </c>
      <c r="C19" s="12" t="inlineStr">
        <is>
          <t>PR #38, #44, #50</t>
        </is>
      </c>
      <c r="D19" s="12" t="inlineStr">
        <is>
          <t>Inbox·Announcements, FCM 푸시, APNs(HTTP/2 JWT), 알림 선호 카테고리</t>
        </is>
      </c>
      <c r="E19" s="11" t="inlineStr">
        <is>
          <t>✅</t>
        </is>
      </c>
      <c r="F19" s="12" t="inlineStr"/>
    </row>
    <row r="20">
      <c r="A20" s="12" t="inlineStr">
        <is>
          <t>알림 (Inbox + Push)</t>
        </is>
      </c>
      <c r="B20" s="13" t="inlineStr">
        <is>
          <t>Phase 1</t>
        </is>
      </c>
      <c r="C20" s="12" t="inlineStr">
        <is>
          <t>P10</t>
        </is>
      </c>
      <c r="D20" s="12" t="inlineStr">
        <is>
          <t>provider Notifications 실연동 + mobile 알림 라우팅 + 알림 탭 보강</t>
        </is>
      </c>
      <c r="E20" s="14" t="inlineStr">
        <is>
          <t>⬜</t>
        </is>
      </c>
      <c r="F20" s="12" t="inlineStr"/>
    </row>
    <row r="21">
      <c r="A21" s="10" t="inlineStr">
        <is>
          <t>WiFi (1회 연결)</t>
        </is>
      </c>
      <c r="B21" s="11" t="inlineStr">
        <is>
          <t>이전 완료</t>
        </is>
      </c>
      <c r="C21" s="12" t="inlineStr">
        <is>
          <t>PR #11, #49</t>
        </is>
      </c>
      <c r="D21" s="12" t="inlineStr">
        <is>
          <t>wifi_profiles 기본, native plugin(iOS/Android) 자동 가입 요청, BLE 핸드셰이크</t>
        </is>
      </c>
      <c r="E21" s="11" t="inlineStr">
        <is>
          <t>✅</t>
        </is>
      </c>
      <c r="F21" s="12" t="inlineStr">
        <is>
          <t>1회 연결만, 로밍 미지원</t>
        </is>
      </c>
    </row>
    <row r="22">
      <c r="A22" s="10" t="inlineStr">
        <is>
          <t>WiFi 로밍 (B 풀스코프)</t>
        </is>
      </c>
      <c r="B22" s="13" t="inlineStr">
        <is>
          <t>Phase 1</t>
        </is>
      </c>
      <c r="C22" s="12" t="inlineStr">
        <is>
          <t>P14~P19</t>
        </is>
      </c>
      <c r="D22" s="12" t="inlineStr">
        <is>
          <t>wifi_profiles 확장 + beacon_wifi·units·grant·devices + admin/provider 등록 + mobile 클라이언트 + .mobileconfig 다건 + managed/units (flag)</t>
        </is>
      </c>
      <c r="E22" s="14" t="inlineStr">
        <is>
          <t>⬜</t>
        </is>
      </c>
      <c r="F22" s="12" t="inlineStr">
        <is>
          <t>6월 말~7월 중</t>
        </is>
      </c>
    </row>
    <row r="23">
      <c r="A23" s="10" t="inlineStr">
        <is>
          <t>비콘 (인벤토리/claim/모니터)</t>
        </is>
      </c>
      <c r="B23" s="11" t="inlineStr">
        <is>
          <t>이전 완료</t>
        </is>
      </c>
      <c r="C23" s="12" t="inlineStr">
        <is>
          <t>PR #37, #38</t>
        </is>
      </c>
      <c r="D23" s="12" t="inlineStr">
        <is>
          <t>admin 인벤토리 CSV 입고, provider claim, 배터리 모니터링, 펌웨어 표시</t>
        </is>
      </c>
      <c r="E23" s="11" t="inlineStr">
        <is>
          <t>✅</t>
        </is>
      </c>
      <c r="F23" s="12" t="inlineStr"/>
    </row>
    <row r="24">
      <c r="A24" s="10" t="inlineStr">
        <is>
          <t>비콘</t>
        </is>
      </c>
      <c r="B24" s="13" t="inlineStr">
        <is>
          <t>Phase 1</t>
        </is>
      </c>
      <c r="C24" s="12" t="inlineStr">
        <is>
          <t>P15 (병합)</t>
        </is>
      </c>
      <c r="D24" s="12" t="inlineStr">
        <is>
          <t>beacons.role(wifi/cashier) 추가 + admin·provider UI</t>
        </is>
      </c>
      <c r="E24" s="14" t="inlineStr">
        <is>
          <t>⬜</t>
        </is>
      </c>
      <c r="F24" s="12" t="inlineStr"/>
    </row>
    <row r="25">
      <c r="A25" s="10" t="inlineStr">
        <is>
          <t>i18n (12언어)</t>
        </is>
      </c>
      <c r="B25" s="11" t="inlineStr">
        <is>
          <t>이전 완료</t>
        </is>
      </c>
      <c r="C25" s="12" t="inlineStr">
        <is>
          <t>BE translations API + admin CRUD</t>
        </is>
      </c>
      <c r="D25" s="12" t="inlineStr">
        <is>
          <t>백엔드 translations 테이블, DeepL 통합, 12개 supportedLocales, admin CRUD</t>
        </is>
      </c>
      <c r="E25" s="11" t="inlineStr">
        <is>
          <t>✅</t>
        </is>
      </c>
      <c r="F25" s="12" t="inlineStr"/>
    </row>
    <row r="26">
      <c r="A26" s="10" t="inlineStr">
        <is>
          <t>i18n</t>
        </is>
      </c>
      <c r="B26" s="13" t="inlineStr">
        <is>
          <t>Phase 1</t>
        </is>
      </c>
      <c r="C26" s="12" t="inlineStr">
        <is>
          <t>P2</t>
        </is>
      </c>
      <c r="D26" s="12" t="inlineStr">
        <is>
          <t>mobile I18nService DB 통일 + 전 화면 t() 전환 + ko 시드 550 + DeepL 일괄번역 스크립트</t>
        </is>
      </c>
      <c r="E26" s="11" t="inlineStr">
        <is>
          <t>✅</t>
        </is>
      </c>
      <c r="F26" s="12" t="inlineStr">
        <is>
          <t>11개 언어 번역 = DeepL 키 확보 후 batch 실행</t>
        </is>
      </c>
    </row>
    <row r="27">
      <c r="A27" s="12" t="inlineStr">
        <is>
          <t>i18n</t>
        </is>
      </c>
      <c r="B27" s="14" t="inlineStr">
        <is>
          <t>남은</t>
        </is>
      </c>
      <c r="C27" s="12" t="inlineStr">
        <is>
          <t>DeepL 번역 batch</t>
        </is>
      </c>
      <c r="D27" s="12" t="inlineStr">
        <is>
          <t>translations DB의 ko 키 → 11개 언어 자동 번역(약 22 × 549건)</t>
        </is>
      </c>
      <c r="E27" s="14" t="inlineStr">
        <is>
          <t>⬜</t>
        </is>
      </c>
      <c r="F27" s="12" t="inlineStr">
        <is>
          <t>DeepL API 키 활성화 후</t>
        </is>
      </c>
    </row>
    <row r="28">
      <c r="A28" s="10" t="inlineStr">
        <is>
          <t>정책/약관</t>
        </is>
      </c>
      <c r="B28" s="11" t="inlineStr">
        <is>
          <t>이전 완료</t>
        </is>
      </c>
      <c r="C28" s="12" t="inlineStr">
        <is>
          <t>8종 KIND 등록</t>
        </is>
      </c>
      <c r="D28" s="12" t="inlineStr">
        <is>
          <t>terms, privacy, location, marketing, push, camera, storage, third_party, age14 DB 등록</t>
        </is>
      </c>
      <c r="E28" s="11" t="inlineStr">
        <is>
          <t>✅</t>
        </is>
      </c>
      <c r="F28" s="12" t="inlineStr"/>
    </row>
    <row r="29">
      <c r="A29" s="12" t="inlineStr">
        <is>
          <t>정책/약관</t>
        </is>
      </c>
      <c r="B29" s="13" t="inlineStr">
        <is>
          <t>Phase 1</t>
        </is>
      </c>
      <c r="C29" s="12" t="inlineStr">
        <is>
          <t>P13</t>
        </is>
      </c>
      <c r="D29" s="12" t="inlineStr">
        <is>
          <t>환불·청소년·쿠키 정책 3종 BE/admin/노출 추가 + policy_view 언어 정합</t>
        </is>
      </c>
      <c r="E29" s="14" t="inlineStr">
        <is>
          <t>⬜</t>
        </is>
      </c>
      <c r="F29" s="12" t="inlineStr"/>
    </row>
    <row r="30">
      <c r="A30" s="10" t="inlineStr">
        <is>
          <t>디자인 시스템</t>
        </is>
      </c>
      <c r="B30" s="11" t="inlineStr">
        <is>
          <t>이전 완료</t>
        </is>
      </c>
      <c r="C30" s="12" t="inlineStr">
        <is>
          <t>3콘솔 디자인 정합</t>
        </is>
      </c>
      <c r="D30" s="12" t="inlineStr">
        <is>
          <t>mobile dark + 보라, provider-web dark + 녹색, admin-web dark + 블루 — 3콘솔 디자인 토큰 통일</t>
        </is>
      </c>
      <c r="E30" s="11" t="inlineStr">
        <is>
          <t>✅</t>
        </is>
      </c>
      <c r="F30" s="12" t="inlineStr"/>
    </row>
    <row r="31">
      <c r="A31" s="12" t="inlineStr">
        <is>
          <t>디자인 시스템</t>
        </is>
      </c>
      <c r="B31" s="13" t="inlineStr">
        <is>
          <t>Phase 1</t>
        </is>
      </c>
      <c r="C31" s="12" t="inlineStr">
        <is>
          <t>P1·P3</t>
        </is>
      </c>
      <c r="D31" s="12" t="inlineStr">
        <is>
          <t>mobile 테마 단일화 + 시스템 폰트 + Pw* 위젯 / 웹 alert·confirm 33곳 → 공용 모달</t>
        </is>
      </c>
      <c r="E31" s="11" t="inlineStr">
        <is>
          <t>✅</t>
        </is>
      </c>
      <c r="F31" s="12" t="inlineStr"/>
    </row>
    <row r="32">
      <c r="A32" s="10" t="inlineStr">
        <is>
          <t>슈퍼어드민 (admin-web)</t>
        </is>
      </c>
      <c r="B32" s="11" t="inlineStr">
        <is>
          <t>이전 완료</t>
        </is>
      </c>
      <c r="C32" s="12" t="inlineStr">
        <is>
          <t>PR #36~#39, #142</t>
        </is>
      </c>
      <c r="D32" s="12" t="inlineStr">
        <is>
          <t>Login + Dashboard + Beacons + Approvals + Battery + Announcements + Payments + Subscriptions + Policies + Reports + Translations + Audit</t>
        </is>
      </c>
      <c r="E32" s="11" t="inlineStr">
        <is>
          <t>✅</t>
        </is>
      </c>
      <c r="F32" s="12" t="inlineStr"/>
    </row>
    <row r="33">
      <c r="A33" s="10" t="inlineStr">
        <is>
          <t>슈퍼어드민</t>
        </is>
      </c>
      <c r="B33" s="13" t="inlineStr">
        <is>
          <t>Phase 1</t>
        </is>
      </c>
      <c r="C33" s="12" t="inlineStr">
        <is>
          <t>P11·P20</t>
        </is>
      </c>
      <c r="D33" s="12" t="inlineStr">
        <is>
          <t>Dashboard 가짜데이터 제거 + StaffMonitor·CouponStats placeholder 해소 + app-versions UI(BE 완성)</t>
        </is>
      </c>
      <c r="E33" s="14" t="inlineStr">
        <is>
          <t>⬜</t>
        </is>
      </c>
      <c r="F33" s="12" t="inlineStr"/>
    </row>
    <row r="34">
      <c r="A34" s="10" t="inlineStr">
        <is>
          <t>직원 관리</t>
        </is>
      </c>
      <c r="B34" s="11" t="inlineStr">
        <is>
          <t>이전 완료</t>
        </is>
      </c>
      <c r="C34" s="12" t="inlineStr">
        <is>
          <t>백엔드 staff API</t>
        </is>
      </c>
      <c r="D34" s="12" t="inlineStr">
        <is>
          <t>직원 초대/권한/관리 백엔드</t>
        </is>
      </c>
      <c r="E34" s="11" t="inlineStr">
        <is>
          <t>✅</t>
        </is>
      </c>
      <c r="F34" s="12" t="inlineStr"/>
    </row>
    <row r="35">
      <c r="A35" s="12" t="inlineStr">
        <is>
          <t>직원 관리</t>
        </is>
      </c>
      <c r="B35" s="13" t="inlineStr">
        <is>
          <t>Phase 1</t>
        </is>
      </c>
      <c r="C35" s="12" t="inlineStr">
        <is>
          <t>P11</t>
        </is>
      </c>
      <c r="D35" s="12" t="inlineStr">
        <is>
          <t>provider StaffManagement 실연동 + admin StaffMonitor 실연동</t>
        </is>
      </c>
      <c r="E35" s="14" t="inlineStr">
        <is>
          <t>⬜</t>
        </is>
      </c>
      <c r="F35" s="12" t="inlineStr"/>
    </row>
    <row r="36">
      <c r="A36" s="10" t="inlineStr">
        <is>
          <t>심의 직격 (mobile)</t>
        </is>
      </c>
      <c r="B36" s="13" t="inlineStr">
        <is>
          <t>Phase 1</t>
        </is>
      </c>
      <c r="C36" s="12" t="inlineStr">
        <is>
          <t>P12</t>
        </is>
      </c>
      <c r="D36" s="12" t="inlineStr">
        <is>
          <t>consent placeholder 제거 + 동의 로드 실패 복구 + settings dev 정보 제거 + 앱 버전 동적화</t>
        </is>
      </c>
      <c r="E36" s="14" t="inlineStr">
        <is>
          <t>⬜</t>
        </is>
      </c>
      <c r="F36" s="12" t="inlineStr">
        <is>
          <t>심의 reject 방지</t>
        </is>
      </c>
    </row>
    <row r="37">
      <c r="A37" s="10" t="inlineStr">
        <is>
          <t>심의 메타 자산</t>
        </is>
      </c>
      <c r="B37" s="13" t="inlineStr">
        <is>
          <t>Phase 1</t>
        </is>
      </c>
      <c r="C37" s="12" t="inlineStr">
        <is>
          <t>P21</t>
        </is>
      </c>
      <c r="D37" s="12" t="inlineStr">
        <is>
          <t>PrivacyInfo.xcprivacy + Bundle ID 확정 + Android Photo Picker + 계정삭제 웹 URL</t>
        </is>
      </c>
      <c r="E37" s="14" t="inlineStr">
        <is>
          <t>⬜</t>
        </is>
      </c>
      <c r="F37" s="12" t="inlineStr">
        <is>
          <t>iOS/Android 심사 필수</t>
        </is>
      </c>
    </row>
    <row r="38">
      <c r="A38" s="10" t="inlineStr">
        <is>
          <t>OCR 허위 제거</t>
        </is>
      </c>
      <c r="B38" s="13" t="inlineStr">
        <is>
          <t>Phase 1</t>
        </is>
      </c>
      <c r="C38" s="12" t="inlineStr">
        <is>
          <t>P6</t>
        </is>
      </c>
      <c r="D38" s="12" t="inlineStr">
        <is>
          <t>WifiSettings·ServiceRequest runOcrMock 제거 → 정직한 수동입력 UI</t>
        </is>
      </c>
      <c r="E38" s="11" t="inlineStr">
        <is>
          <t>✅</t>
        </is>
      </c>
      <c r="F38" s="12" t="inlineStr">
        <is>
          <t>심의 reject 방지</t>
        </is>
      </c>
    </row>
    <row r="39">
      <c r="A39" s="10" t="inlineStr">
        <is>
          <t>회사 정보 (footer)</t>
        </is>
      </c>
      <c r="B39" s="13" t="inlineStr">
        <is>
          <t>Phase 1</t>
        </is>
      </c>
      <c r="C39" s="12" t="inlineStr">
        <is>
          <t>P5 (포함)</t>
        </is>
      </c>
      <c r="D39" s="12" t="inlineStr">
        <is>
          <t>Settings 푸터 → PwFooter (CompanyInfoService → 트리거소프트 실 법인정보)</t>
        </is>
      </c>
      <c r="E39" s="11" t="inlineStr">
        <is>
          <t>✅</t>
        </is>
      </c>
      <c r="F39" s="12" t="inlineStr">
        <is>
          <t>법인 등기 완료</t>
        </is>
      </c>
    </row>
    <row r="40">
      <c r="A40" s="10" t="inlineStr">
        <is>
          <t>운영 인프라</t>
        </is>
      </c>
      <c r="B40" s="11" t="inlineStr">
        <is>
          <t>이전 완료</t>
        </is>
      </c>
      <c r="C40" s="12" t="inlineStr">
        <is>
          <t>PR #35, #41, #51</t>
        </is>
      </c>
      <c r="D40" s="12" t="inlineStr">
        <is>
          <t>SECRET_KEY/AES_KEY ENV + CORS 화이트리스트 + rate-limit + gunicorn/wsgi + Sentry + PostgreSQL 어댑터</t>
        </is>
      </c>
      <c r="E40" s="11" t="inlineStr">
        <is>
          <t>✅</t>
        </is>
      </c>
      <c r="F40" s="12" t="inlineStr">
        <is>
          <t>실 호스팅은 외부 서비스 활성화 후</t>
        </is>
      </c>
    </row>
    <row r="41">
      <c r="A41" s="10" t="inlineStr">
        <is>
          <t>Phase 2~4 테스트</t>
        </is>
      </c>
      <c r="B41" s="14" t="inlineStr">
        <is>
          <t>남은</t>
        </is>
      </c>
      <c r="C41" s="12" t="inlineStr">
        <is>
          <t>W7 테스트 시드</t>
        </is>
      </c>
      <c r="D41" s="12" t="inlineStr">
        <is>
          <t>6 페르소나(외국인/한국인/소규모/중대형/직원/슈퍼어드민) 테스트 데이터 시드 + 시나리오 검증</t>
        </is>
      </c>
      <c r="E41" s="14" t="inlineStr">
        <is>
          <t>⬜</t>
        </is>
      </c>
      <c r="F41" s="12" t="inlineStr">
        <is>
          <t>7월 중순~하순</t>
        </is>
      </c>
    </row>
    <row r="42">
      <c r="A42" s="10" t="inlineStr">
        <is>
          <t>Phase 5 제출</t>
        </is>
      </c>
      <c r="B42" s="14" t="inlineStr">
        <is>
          <t>남은</t>
        </is>
      </c>
      <c r="C42" s="12" t="inlineStr">
        <is>
          <t>스토어 제출</t>
        </is>
      </c>
      <c r="D42" s="12" t="inlineStr">
        <is>
          <t>iOS/Android 빌드 + 스토어 메타데이터 + 스크린샷 + 심의 제출</t>
        </is>
      </c>
      <c r="E42" s="14" t="inlineStr">
        <is>
          <t>⬜</t>
        </is>
      </c>
      <c r="F42" s="12" t="inlineStr">
        <is>
          <t>7월 하순~8월 초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8" customWidth="1" min="4" max="4"/>
    <col width="50" customWidth="1" min="5" max="5"/>
    <col width="8" customWidth="1" min="6" max="6"/>
    <col width="9" customWidth="1" min="7" max="7"/>
    <col width="9" customWidth="1" min="8" max="8"/>
    <col width="12" customWidth="1" min="9" max="9"/>
    <col width="18" customWidth="1" min="10" max="10"/>
    <col width="12" customWidth="1" min="11" max="11"/>
    <col width="30" customWidth="1" min="12" max="12"/>
  </cols>
  <sheetData>
    <row r="1" ht="28" customHeight="1">
      <c r="A1" s="9" t="inlineStr">
        <is>
          <t>PR</t>
        </is>
      </c>
      <c r="B1" s="9" t="inlineStr">
        <is>
          <t>분류</t>
        </is>
      </c>
      <c r="C1" s="9" t="inlineStr">
        <is>
          <t>도메인</t>
        </is>
      </c>
      <c r="D1" s="9" t="inlineStr">
        <is>
          <t>콘솔/영역</t>
        </is>
      </c>
      <c r="E1" s="9" t="inlineStr">
        <is>
          <t>내용 요약</t>
        </is>
      </c>
      <c r="F1" s="9" t="inlineStr">
        <is>
          <t>상태</t>
        </is>
      </c>
      <c r="G1" s="9" t="inlineStr">
        <is>
          <t>진척율</t>
        </is>
      </c>
      <c r="H1" s="9" t="inlineStr">
        <is>
          <t>담당</t>
        </is>
      </c>
      <c r="I1" s="9" t="inlineStr">
        <is>
          <t>시작일</t>
        </is>
      </c>
      <c r="J1" s="9" t="inlineStr">
        <is>
          <t>목표일</t>
        </is>
      </c>
      <c r="K1" s="9" t="inlineStr">
        <is>
          <t>완료일</t>
        </is>
      </c>
      <c r="L1" s="9" t="inlineStr">
        <is>
          <t>검증 시나리오 / 메모</t>
        </is>
      </c>
    </row>
    <row r="2">
      <c r="A2" s="12" t="inlineStr">
        <is>
          <t>P1</t>
        </is>
      </c>
      <c r="B2" s="12" t="inlineStr">
        <is>
          <t>인프라</t>
        </is>
      </c>
      <c r="C2" s="12" t="inlineStr">
        <is>
          <t>mobile 디자인 기반</t>
        </is>
      </c>
      <c r="D2" s="12" t="inlineStr">
        <is>
          <t>mobile</t>
        </is>
      </c>
      <c r="E2" s="12" t="inlineStr">
        <is>
          <t>테마 단일화 + 시스템 폰트 + Pw* 위젯 4종</t>
        </is>
      </c>
      <c r="F2" s="11" t="inlineStr">
        <is>
          <t>✅</t>
        </is>
      </c>
      <c r="G2" s="16">
        <f>IF(F2="✅",1,IF(F2="🔄",0.5,IF(F2="◑",0.7,IF(F2="🔎",0.9,0))))</f>
        <v/>
      </c>
      <c r="H2" s="17" t="inlineStr">
        <is>
          <t>2026-05-21</t>
        </is>
      </c>
      <c r="I2" s="18" t="inlineStr">
        <is>
          <t>2026-05-22</t>
        </is>
      </c>
      <c r="J2" s="18" t="inlineStr">
        <is>
          <t>2026-05-23</t>
        </is>
      </c>
      <c r="K2" s="18" t="inlineStr"/>
      <c r="L2" s="12" t="n"/>
    </row>
    <row r="3">
      <c r="A3" s="12" t="inlineStr">
        <is>
          <t>P2</t>
        </is>
      </c>
      <c r="B3" s="12" t="inlineStr">
        <is>
          <t>인프라</t>
        </is>
      </c>
      <c r="C3" s="12" t="inlineStr">
        <is>
          <t>mobile i18n</t>
        </is>
      </c>
      <c r="D3" s="12" t="inlineStr">
        <is>
          <t>mobile·BE</t>
        </is>
      </c>
      <c r="E3" s="12" t="inlineStr">
        <is>
          <t>12언어 단일화 + 전 화면 t() + ko 시드 550 + DeepL 스크립트</t>
        </is>
      </c>
      <c r="F3" s="11" t="inlineStr">
        <is>
          <t>✅</t>
        </is>
      </c>
      <c r="G3" s="16">
        <f>IF(F3="✅",1,IF(F3="🔄",0.5,IF(F3="◑",0.7,IF(F3="🔎",0.9,0))))</f>
        <v/>
      </c>
      <c r="H3" s="17" t="inlineStr">
        <is>
          <t>2026-05-21</t>
        </is>
      </c>
      <c r="I3" s="18" t="inlineStr">
        <is>
          <t>2026-05-22</t>
        </is>
      </c>
      <c r="J3" s="18" t="inlineStr">
        <is>
          <t>2026-05-23</t>
        </is>
      </c>
      <c r="K3" s="18" t="inlineStr"/>
      <c r="L3" s="12" t="n"/>
    </row>
    <row r="4">
      <c r="A4" s="12" t="inlineStr">
        <is>
          <t>P3</t>
        </is>
      </c>
      <c r="B4" s="12" t="inlineStr">
        <is>
          <t>인프라</t>
        </is>
      </c>
      <c r="C4" s="12" t="inlineStr">
        <is>
          <t>웹 디자인 시스템</t>
        </is>
      </c>
      <c r="D4" s="12" t="inlineStr">
        <is>
          <t>provider·admin</t>
        </is>
      </c>
      <c r="E4" s="12" t="inlineStr">
        <is>
          <t>alert/confirm 33곳 → useDialog 공용 모달 + 색 토큰</t>
        </is>
      </c>
      <c r="F4" s="11" t="inlineStr">
        <is>
          <t>✅</t>
        </is>
      </c>
      <c r="G4" s="16">
        <f>IF(F4="✅",1,IF(F4="🔄",0.5,IF(F4="◑",0.7,IF(F4="🔎",0.9,0))))</f>
        <v/>
      </c>
      <c r="H4" s="17" t="inlineStr">
        <is>
          <t>2026-05-21</t>
        </is>
      </c>
      <c r="I4" s="18" t="inlineStr">
        <is>
          <t>2026-05-22</t>
        </is>
      </c>
      <c r="J4" s="18" t="inlineStr">
        <is>
          <t>2026-05-23</t>
        </is>
      </c>
      <c r="K4" s="18" t="inlineStr"/>
      <c r="L4" s="12" t="n"/>
    </row>
    <row r="5">
      <c r="A5" s="12" t="inlineStr">
        <is>
          <t>P4</t>
        </is>
      </c>
      <c r="B5" s="12" t="inlineStr">
        <is>
          <t>Critical</t>
        </is>
      </c>
      <c r="C5" s="12" t="inlineStr">
        <is>
          <t>인증 우회 제거</t>
        </is>
      </c>
      <c r="D5" s="12" t="inlineStr">
        <is>
          <t>provider·admin·BE</t>
        </is>
      </c>
      <c r="E5" s="12" t="inlineStr">
        <is>
          <t>DEV_AUTO_LOGIN env 게이트 + 실 로그인폼 + /forgot-password 정식</t>
        </is>
      </c>
      <c r="F5" s="11" t="inlineStr">
        <is>
          <t>✅</t>
        </is>
      </c>
      <c r="G5" s="16">
        <f>IF(F5="✅",1,IF(F5="🔄",0.5,IF(F5="◑",0.7,IF(F5="🔎",0.9,0))))</f>
        <v/>
      </c>
      <c r="H5" s="17" t="inlineStr">
        <is>
          <t>2026-05-23</t>
        </is>
      </c>
      <c r="I5" s="18" t="inlineStr">
        <is>
          <t>2026-05-23</t>
        </is>
      </c>
      <c r="J5" s="18" t="inlineStr">
        <is>
          <t>2026-05-23</t>
        </is>
      </c>
      <c r="K5" s="18" t="inlineStr">
        <is>
          <t>⚠ app.py 재시작 필요</t>
        </is>
      </c>
      <c r="L5" s="12" t="n"/>
    </row>
    <row r="6">
      <c r="A6" s="12" t="inlineStr">
        <is>
          <t>P5</t>
        </is>
      </c>
      <c r="B6" s="12" t="inlineStr">
        <is>
          <t>Critical</t>
        </is>
      </c>
      <c r="C6" s="12" t="inlineStr">
        <is>
          <t>매장·회사정보 실연동</t>
        </is>
      </c>
      <c r="D6" s="12" t="inlineStr">
        <is>
          <t>provider</t>
        </is>
      </c>
      <c r="E6" s="12" t="inlineStr">
        <is>
          <t>StoreInfo 실연동 + PwFooter + dead code 정리</t>
        </is>
      </c>
      <c r="F6" s="11" t="inlineStr">
        <is>
          <t>✅</t>
        </is>
      </c>
      <c r="G6" s="16">
        <f>IF(F6="✅",1,IF(F6="🔄",0.5,IF(F6="◑",0.7,IF(F6="🔎",0.9,0))))</f>
        <v/>
      </c>
      <c r="H6" s="17" t="inlineStr">
        <is>
          <t>2026-05-23</t>
        </is>
      </c>
      <c r="I6" s="18" t="inlineStr">
        <is>
          <t>2026-05-23</t>
        </is>
      </c>
      <c r="J6" s="18" t="inlineStr">
        <is>
          <t>2026-05-23</t>
        </is>
      </c>
      <c r="K6" s="18" t="inlineStr"/>
      <c r="L6" s="12" t="n"/>
    </row>
    <row r="7">
      <c r="A7" s="12" t="inlineStr">
        <is>
          <t>P6</t>
        </is>
      </c>
      <c r="B7" s="12" t="inlineStr">
        <is>
          <t>Critical</t>
        </is>
      </c>
      <c r="C7" s="12" t="inlineStr">
        <is>
          <t>OCR 허위 제거</t>
        </is>
      </c>
      <c r="D7" s="12" t="inlineStr">
        <is>
          <t>provider</t>
        </is>
      </c>
      <c r="E7" s="12" t="inlineStr">
        <is>
          <t>가짜 OCR 자동입력 제거 → 정직한 수동입력 UI</t>
        </is>
      </c>
      <c r="F7" s="11" t="inlineStr">
        <is>
          <t>✅</t>
        </is>
      </c>
      <c r="G7" s="16">
        <f>IF(F7="✅",1,IF(F7="🔄",0.5,IF(F7="◑",0.7,IF(F7="🔎",0.9,0))))</f>
        <v/>
      </c>
      <c r="H7" s="17" t="inlineStr">
        <is>
          <t>2026-05-23</t>
        </is>
      </c>
      <c r="I7" s="18" t="inlineStr">
        <is>
          <t>2026-05-23</t>
        </is>
      </c>
      <c r="J7" s="18" t="inlineStr">
        <is>
          <t>2026-05-23</t>
        </is>
      </c>
      <c r="K7" s="18" t="inlineStr"/>
      <c r="L7" s="12" t="n"/>
    </row>
    <row r="8">
      <c r="A8" s="12" t="inlineStr">
        <is>
          <t>P7</t>
        </is>
      </c>
      <c r="B8" s="12" t="inlineStr">
        <is>
          <t>Critical</t>
        </is>
      </c>
      <c r="C8" s="12" t="inlineStr">
        <is>
          <t>결제·구독 실연동</t>
        </is>
      </c>
      <c r="D8" s="12" t="inlineStr">
        <is>
          <t>provider·admin</t>
        </is>
      </c>
      <c r="E8" s="12" t="inlineStr">
        <is>
          <t>카드 localStorage 제거(PCI) + BillingService + 실연동</t>
        </is>
      </c>
      <c r="F8" s="11" t="inlineStr">
        <is>
          <t>✅</t>
        </is>
      </c>
      <c r="G8" s="16">
        <f>IF(F8="✅",1,IF(F8="🔄",0.5,IF(F8="◑",0.7,IF(F8="🔎",0.9,0))))</f>
        <v/>
      </c>
      <c r="H8" s="17" t="inlineStr">
        <is>
          <t>2026-05-23</t>
        </is>
      </c>
      <c r="I8" s="18" t="inlineStr">
        <is>
          <t>2026-05-23</t>
        </is>
      </c>
      <c r="J8" s="18" t="inlineStr">
        <is>
          <t>2026-05-23</t>
        </is>
      </c>
      <c r="K8" s="18" t="inlineStr"/>
      <c r="L8" s="12" t="n"/>
    </row>
    <row r="9">
      <c r="A9" s="12" t="inlineStr">
        <is>
          <t>P8</t>
        </is>
      </c>
      <c r="B9" s="12" t="inlineStr">
        <is>
          <t>Critical</t>
        </is>
      </c>
      <c r="C9" s="12" t="inlineStr">
        <is>
          <t>채팅 도메인</t>
        </is>
      </c>
      <c r="D9" s="12" t="inlineStr">
        <is>
          <t>mobile·provider·admin·BE</t>
        </is>
      </c>
      <c r="E9" s="12" t="inlineStr">
        <is>
          <t>provider CustomerChat + admin ChatMonitor + BE 신고 API + mobile SSE 재연결</t>
        </is>
      </c>
      <c r="F9" s="15" t="inlineStr">
        <is>
          <t>◑</t>
        </is>
      </c>
      <c r="G9" s="16">
        <f>IF(F9="✅",1,IF(F9="🔄",0.5,IF(F9="◑",0.7,IF(F9="🔎",0.9,0))))</f>
        <v/>
      </c>
      <c r="H9" s="17" t="inlineStr">
        <is>
          <t>2026-05-23</t>
        </is>
      </c>
      <c r="I9" s="18" t="inlineStr">
        <is>
          <t>2026-05-23</t>
        </is>
      </c>
      <c r="J9" s="18" t="inlineStr">
        <is>
          <t>2026-05-23</t>
        </is>
      </c>
      <c r="K9" s="18" t="inlineStr">
        <is>
          <t>번역=P8b 분리, ⚠ app.py 재시작</t>
        </is>
      </c>
      <c r="L9" s="12" t="n"/>
    </row>
    <row r="10">
      <c r="A10" s="12" t="inlineStr">
        <is>
          <t>P8b</t>
        </is>
      </c>
      <c r="B10" s="12" t="inlineStr">
        <is>
          <t>Critical</t>
        </is>
      </c>
      <c r="C10" s="12" t="inlineStr">
        <is>
          <t>채팅 자동 번역</t>
        </is>
      </c>
      <c r="D10" s="12" t="inlineStr">
        <is>
          <t>mobile·provider·BE</t>
        </is>
      </c>
      <c r="E10" s="12" t="inlineStr">
        <is>
          <t>번역 캐시 스키마 + 뷰어별 언어 + translator↔chat 연결</t>
        </is>
      </c>
      <c r="F10" s="14" t="inlineStr">
        <is>
          <t>⬜</t>
        </is>
      </c>
      <c r="G10" s="16">
        <f>IF(F10="✅",1,IF(F10="🔄",0.5,IF(F10="◑",0.7,IF(F10="🔎",0.9,0))))</f>
        <v/>
      </c>
      <c r="H10" s="17" t="inlineStr"/>
      <c r="I10" s="18" t="inlineStr">
        <is>
          <t>키 확보 후</t>
        </is>
      </c>
      <c r="J10" s="18" t="inlineStr"/>
      <c r="K10" s="18" t="inlineStr">
        <is>
          <t>Google/DeepL 키 확보 후</t>
        </is>
      </c>
      <c r="L10" s="12" t="n"/>
    </row>
    <row r="11">
      <c r="A11" s="12" t="inlineStr">
        <is>
          <t>P9</t>
        </is>
      </c>
      <c r="B11" s="12" t="inlineStr">
        <is>
          <t>Critical</t>
        </is>
      </c>
      <c r="C11" s="12" t="inlineStr">
        <is>
          <t>쿠폰·스탬프 실연동</t>
        </is>
      </c>
      <c r="D11" s="12" t="inlineStr">
        <is>
          <t>mobile·provider</t>
        </is>
      </c>
      <c r="E11" s="12" t="inlineStr">
        <is>
          <t>Coupons·Stamps mock→실연동</t>
        </is>
      </c>
      <c r="F11" s="14" t="inlineStr">
        <is>
          <t>⬜</t>
        </is>
      </c>
      <c r="G11" s="16">
        <f>IF(F11="✅",1,IF(F11="🔄",0.5,IF(F11="◑",0.7,IF(F11="🔎",0.9,0))))</f>
        <v/>
      </c>
      <c r="H11" s="17" t="inlineStr"/>
      <c r="I11" s="18" t="inlineStr">
        <is>
          <t>2026-06-중</t>
        </is>
      </c>
      <c r="J11" s="18" t="inlineStr"/>
      <c r="K11" s="18" t="inlineStr"/>
      <c r="L11" s="12" t="n"/>
    </row>
    <row r="12">
      <c r="A12" s="12" t="inlineStr">
        <is>
          <t>P10</t>
        </is>
      </c>
      <c r="B12" s="12" t="inlineStr">
        <is>
          <t>Critical</t>
        </is>
      </c>
      <c r="C12" s="12" t="inlineStr">
        <is>
          <t>알림 도메인</t>
        </is>
      </c>
      <c r="D12" s="12" t="inlineStr">
        <is>
          <t>mobile·provider·admin</t>
        </is>
      </c>
      <c r="E12" s="12" t="inlineStr">
        <is>
          <t>Notifications 실연동 + mobile 라우팅</t>
        </is>
      </c>
      <c r="F12" s="14" t="inlineStr">
        <is>
          <t>⬜</t>
        </is>
      </c>
      <c r="G12" s="16">
        <f>IF(F12="✅",1,IF(F12="🔄",0.5,IF(F12="◑",0.7,IF(F12="🔎",0.9,0))))</f>
        <v/>
      </c>
      <c r="H12" s="17" t="inlineStr"/>
      <c r="I12" s="18" t="inlineStr">
        <is>
          <t>2026-06-중</t>
        </is>
      </c>
      <c r="J12" s="18" t="inlineStr"/>
      <c r="K12" s="18" t="inlineStr"/>
      <c r="L12" s="12" t="n"/>
    </row>
    <row r="13">
      <c r="A13" s="12" t="inlineStr">
        <is>
          <t>P11</t>
        </is>
      </c>
      <c r="B13" s="12" t="inlineStr">
        <is>
          <t>Critical</t>
        </is>
      </c>
      <c r="C13" s="12" t="inlineStr">
        <is>
          <t>대시보드·직원</t>
        </is>
      </c>
      <c r="D13" s="12" t="inlineStr">
        <is>
          <t>provider·admin·BE</t>
        </is>
      </c>
      <c r="E13" s="12" t="inlineStr">
        <is>
          <t>Dashboard·StaffManagement 실연동</t>
        </is>
      </c>
      <c r="F13" s="14" t="inlineStr">
        <is>
          <t>⬜</t>
        </is>
      </c>
      <c r="G13" s="16">
        <f>IF(F13="✅",1,IF(F13="🔄",0.5,IF(F13="◑",0.7,IF(F13="🔎",0.9,0))))</f>
        <v/>
      </c>
      <c r="H13" s="17" t="inlineStr"/>
      <c r="I13" s="18" t="inlineStr">
        <is>
          <t>2026-06-중</t>
        </is>
      </c>
      <c r="J13" s="18" t="inlineStr"/>
      <c r="K13" s="18" t="inlineStr"/>
      <c r="L13" s="12" t="n"/>
    </row>
    <row r="14">
      <c r="A14" s="12" t="inlineStr">
        <is>
          <t>P12</t>
        </is>
      </c>
      <c r="B14" s="12" t="inlineStr">
        <is>
          <t>Critical</t>
        </is>
      </c>
      <c r="C14" s="12" t="inlineStr">
        <is>
          <t>mobile 심의 직격</t>
        </is>
      </c>
      <c r="D14" s="12" t="inlineStr">
        <is>
          <t>mobile·BE</t>
        </is>
      </c>
      <c r="E14" s="12" t="inlineStr">
        <is>
          <t>consent placeholder + dev 정보 제거 + 앱 버전 동적화</t>
        </is>
      </c>
      <c r="F14" s="14" t="inlineStr">
        <is>
          <t>⬜</t>
        </is>
      </c>
      <c r="G14" s="16">
        <f>IF(F14="✅",1,IF(F14="🔄",0.5,IF(F14="◑",0.7,IF(F14="🔎",0.9,0))))</f>
        <v/>
      </c>
      <c r="H14" s="17" t="inlineStr"/>
      <c r="I14" s="18" t="inlineStr">
        <is>
          <t>2026-06-중</t>
        </is>
      </c>
      <c r="J14" s="18" t="inlineStr"/>
      <c r="K14" s="18" t="inlineStr"/>
      <c r="L14" s="12" t="n"/>
    </row>
    <row r="15">
      <c r="A15" s="12" t="inlineStr">
        <is>
          <t>P13</t>
        </is>
      </c>
      <c r="B15" s="12" t="inlineStr">
        <is>
          <t>Critical</t>
        </is>
      </c>
      <c r="C15" s="12" t="inlineStr">
        <is>
          <t>약관 3종</t>
        </is>
      </c>
      <c r="D15" s="12" t="inlineStr">
        <is>
          <t>mobile·provider·admin·BE</t>
        </is>
      </c>
      <c r="E15" s="12" t="inlineStr">
        <is>
          <t>환불·청소년·쿠키 정책</t>
        </is>
      </c>
      <c r="F15" s="14" t="inlineStr">
        <is>
          <t>⬜</t>
        </is>
      </c>
      <c r="G15" s="16">
        <f>IF(F15="✅",1,IF(F15="🔄",0.5,IF(F15="◑",0.7,IF(F15="🔎",0.9,0))))</f>
        <v/>
      </c>
      <c r="H15" s="17" t="inlineStr"/>
      <c r="I15" s="18" t="inlineStr">
        <is>
          <t>2026-06-중</t>
        </is>
      </c>
      <c r="J15" s="18" t="inlineStr"/>
      <c r="K15" s="18" t="inlineStr"/>
      <c r="L15" s="12" t="n"/>
    </row>
    <row r="16">
      <c r="A16" s="12" t="inlineStr">
        <is>
          <t>P14</t>
        </is>
      </c>
      <c r="B16" s="12" t="inlineStr">
        <is>
          <t>WiFi 로밍 B</t>
        </is>
      </c>
      <c r="C16" s="12" t="inlineStr">
        <is>
          <t>WiFi 데이터 모델</t>
        </is>
      </c>
      <c r="D16" s="12" t="inlineStr">
        <is>
          <t>BE</t>
        </is>
      </c>
      <c r="E16" s="12" t="inlineStr">
        <is>
          <t>wifi_profiles 확장 + beacon_wifi·units·grant·devices</t>
        </is>
      </c>
      <c r="F16" s="14" t="inlineStr">
        <is>
          <t>⬜</t>
        </is>
      </c>
      <c r="G16" s="16">
        <f>IF(F16="✅",1,IF(F16="🔄",0.5,IF(F16="◑",0.7,IF(F16="🔎",0.9,0))))</f>
        <v/>
      </c>
      <c r="H16" s="17" t="inlineStr"/>
      <c r="I16" s="18" t="inlineStr">
        <is>
          <t>2026-06-말~7월초</t>
        </is>
      </c>
      <c r="J16" s="18" t="inlineStr"/>
      <c r="K16" s="18" t="inlineStr"/>
      <c r="L16" s="12" t="n"/>
    </row>
    <row r="17">
      <c r="A17" s="12" t="inlineStr">
        <is>
          <t>P15</t>
        </is>
      </c>
      <c r="B17" s="12" t="inlineStr">
        <is>
          <t>WiFi 로밍 B</t>
        </is>
      </c>
      <c r="C17" s="12" t="inlineStr">
        <is>
          <t>WiFi 등록·연동</t>
        </is>
      </c>
      <c r="D17" s="12" t="inlineStr">
        <is>
          <t>provider·admin·BE</t>
        </is>
      </c>
      <c r="E17" s="12" t="inlineStr">
        <is>
          <t>handshake 묶음 + admin WiFi 등록 + provider WifiSettings</t>
        </is>
      </c>
      <c r="F17" s="14" t="inlineStr">
        <is>
          <t>⬜</t>
        </is>
      </c>
      <c r="G17" s="16">
        <f>IF(F17="✅",1,IF(F17="🔄",0.5,IF(F17="◑",0.7,IF(F17="🔎",0.9,0))))</f>
        <v/>
      </c>
      <c r="H17" s="17" t="inlineStr"/>
      <c r="I17" s="18" t="inlineStr">
        <is>
          <t>2026-07-초</t>
        </is>
      </c>
      <c r="J17" s="18" t="inlineStr"/>
      <c r="K17" s="18" t="inlineStr"/>
      <c r="L17" s="12" t="n"/>
    </row>
    <row r="18">
      <c r="A18" s="12" t="inlineStr">
        <is>
          <t>P16</t>
        </is>
      </c>
      <c r="B18" s="12" t="inlineStr">
        <is>
          <t>WiFi 로밍 B</t>
        </is>
      </c>
      <c r="C18" s="12" t="inlineStr">
        <is>
          <t>mobile WiFi 클라이언트</t>
        </is>
      </c>
      <c r="D18" s="12" t="inlineStr">
        <is>
          <t>mobile</t>
        </is>
      </c>
      <c r="E18" s="12" t="inlineStr">
        <is>
          <t>비콘→WiFi 묶음 fetch + BSSID 검증</t>
        </is>
      </c>
      <c r="F18" s="14" t="inlineStr">
        <is>
          <t>⬜</t>
        </is>
      </c>
      <c r="G18" s="16">
        <f>IF(F18="✅",1,IF(F18="🔄",0.5,IF(F18="◑",0.7,IF(F18="🔎",0.9,0))))</f>
        <v/>
      </c>
      <c r="H18" s="17" t="inlineStr"/>
      <c r="I18" s="18" t="inlineStr">
        <is>
          <t>2026-07-초</t>
        </is>
      </c>
      <c r="J18" s="18" t="inlineStr"/>
      <c r="K18" s="18" t="inlineStr"/>
      <c r="L18" s="12" t="n"/>
    </row>
    <row r="19">
      <c r="A19" s="12" t="inlineStr">
        <is>
          <t>P17</t>
        </is>
      </c>
      <c r="B19" s="12" t="inlineStr">
        <is>
          <t>WiFi 로밍 B</t>
        </is>
      </c>
      <c r="C19" s="12" t="inlineStr">
        <is>
          <t>.mobileconfig 다건</t>
        </is>
      </c>
      <c r="D19" s="12" t="inlineStr">
        <is>
          <t>BE·mobile·iOS</t>
        </is>
      </c>
      <c r="E19" s="12" t="inlineStr">
        <is>
          <t>.mobileconfig 생성·다건 설치</t>
        </is>
      </c>
      <c r="F19" s="14" t="inlineStr">
        <is>
          <t>⬜</t>
        </is>
      </c>
      <c r="G19" s="16">
        <f>IF(F19="✅",1,IF(F19="🔄",0.5,IF(F19="◑",0.7,IF(F19="🔎",0.9,0))))</f>
        <v/>
      </c>
      <c r="H19" s="17" t="inlineStr"/>
      <c r="I19" s="18" t="inlineStr">
        <is>
          <t>2026-07-중</t>
        </is>
      </c>
      <c r="J19" s="18" t="inlineStr"/>
      <c r="K19" s="18" t="inlineStr">
        <is>
          <t>서명은 인증서 후</t>
        </is>
      </c>
      <c r="L19" s="12" t="n"/>
    </row>
    <row r="20">
      <c r="A20" s="12" t="inlineStr">
        <is>
          <t>P18</t>
        </is>
      </c>
      <c r="B20" s="12" t="inlineStr">
        <is>
          <t>WiFi 로밍 B</t>
        </is>
      </c>
      <c r="C20" s="12" t="inlineStr">
        <is>
          <t>credential_mode managed</t>
        </is>
      </c>
      <c r="D20" s="12" t="inlineStr">
        <is>
          <t>BE·provider·mobile</t>
        </is>
      </c>
      <c r="E20" s="12" t="inlineStr">
        <is>
          <t>비번 교체 리마인드 + 인가 손님 자동 전파</t>
        </is>
      </c>
      <c r="F20" s="14" t="inlineStr">
        <is>
          <t>⬜</t>
        </is>
      </c>
      <c r="G20" s="16">
        <f>IF(F20="✅",1,IF(F20="🔄",0.5,IF(F20="◑",0.7,IF(F20="🔎",0.9,0))))</f>
        <v/>
      </c>
      <c r="H20" s="17" t="inlineStr"/>
      <c r="I20" s="18" t="inlineStr">
        <is>
          <t>2026-07-중</t>
        </is>
      </c>
      <c r="J20" s="18" t="inlineStr"/>
      <c r="K20" s="18" t="inlineStr">
        <is>
          <t>v1 flag 비공개</t>
        </is>
      </c>
      <c r="L20" s="12" t="n"/>
    </row>
    <row r="21">
      <c r="A21" s="12" t="inlineStr">
        <is>
          <t>P19</t>
        </is>
      </c>
      <c r="B21" s="12" t="inlineStr">
        <is>
          <t>WiFi 로밍 B</t>
        </is>
      </c>
      <c r="C21" s="12" t="inlineStr">
        <is>
          <t>units/grant 관리</t>
        </is>
      </c>
      <c r="D21" s="12" t="inlineStr">
        <is>
          <t>admin·provider·BE</t>
        </is>
      </c>
      <c r="E21" s="12" t="inlineStr">
        <is>
          <t>호실·자리 시간제 권한 UI</t>
        </is>
      </c>
      <c r="F21" s="14" t="inlineStr">
        <is>
          <t>⬜</t>
        </is>
      </c>
      <c r="G21" s="16">
        <f>IF(F21="✅",1,IF(F21="🔄",0.5,IF(F21="◑",0.7,IF(F21="🔎",0.9,0))))</f>
        <v/>
      </c>
      <c r="H21" s="17" t="inlineStr"/>
      <c r="I21" s="18" t="inlineStr">
        <is>
          <t>2026-07-중</t>
        </is>
      </c>
      <c r="J21" s="18" t="inlineStr"/>
      <c r="K21" s="18" t="inlineStr">
        <is>
          <t>v1 flag 비공개</t>
        </is>
      </c>
      <c r="L21" s="12" t="n"/>
    </row>
    <row r="22">
      <c r="A22" s="12" t="inlineStr">
        <is>
          <t>P20</t>
        </is>
      </c>
      <c r="B22" s="12" t="inlineStr">
        <is>
          <t>심의 마무리</t>
        </is>
      </c>
      <c r="C22" s="12" t="inlineStr">
        <is>
          <t>앱 버전관리</t>
        </is>
      </c>
      <c r="D22" s="12" t="inlineStr">
        <is>
          <t>admin·mobile</t>
        </is>
      </c>
      <c r="E22" s="12" t="inlineStr">
        <is>
          <t>admin app-versions UI + mobile OS 최소버전 게이트</t>
        </is>
      </c>
      <c r="F22" s="14" t="inlineStr">
        <is>
          <t>⬜</t>
        </is>
      </c>
      <c r="G22" s="16">
        <f>IF(F22="✅",1,IF(F22="🔄",0.5,IF(F22="◑",0.7,IF(F22="🔎",0.9,0))))</f>
        <v/>
      </c>
      <c r="H22" s="17" t="inlineStr"/>
      <c r="I22" s="18" t="inlineStr">
        <is>
          <t>2026-07-중</t>
        </is>
      </c>
      <c r="J22" s="18" t="inlineStr"/>
      <c r="K22" s="18" t="inlineStr"/>
      <c r="L22" s="12" t="n"/>
    </row>
    <row r="23">
      <c r="A23" s="12" t="inlineStr">
        <is>
          <t>P21</t>
        </is>
      </c>
      <c r="B23" s="12" t="inlineStr">
        <is>
          <t>심의 마무리</t>
        </is>
      </c>
      <c r="C23" s="12" t="inlineStr">
        <is>
          <t>심의 메타 자산</t>
        </is>
      </c>
      <c r="D23" s="12" t="inlineStr">
        <is>
          <t>mobile·iOS</t>
        </is>
      </c>
      <c r="E23" s="12" t="inlineStr">
        <is>
          <t>PrivacyInfo.xcprivacy + Bundle ID + Photo Picker</t>
        </is>
      </c>
      <c r="F23" s="14" t="inlineStr">
        <is>
          <t>⬜</t>
        </is>
      </c>
      <c r="G23" s="16">
        <f>IF(F23="✅",1,IF(F23="🔄",0.5,IF(F23="◑",0.7,IF(F23="🔎",0.9,0))))</f>
        <v/>
      </c>
      <c r="H23" s="17" t="inlineStr"/>
      <c r="I23" s="18" t="inlineStr">
        <is>
          <t>2026-07-중</t>
        </is>
      </c>
      <c r="J23" s="18" t="inlineStr"/>
      <c r="K23" s="18" t="inlineStr"/>
      <c r="L23" s="12" t="n"/>
    </row>
    <row r="24">
      <c r="A24" s="12" t="inlineStr">
        <is>
          <t>P22</t>
        </is>
      </c>
      <c r="B24" s="12" t="inlineStr">
        <is>
          <t>회원 QR 운영</t>
        </is>
      </c>
      <c r="C24" s="12" t="inlineStr">
        <is>
          <t>쿠폰·스탬프 회원 QR</t>
        </is>
      </c>
      <c r="D24" s="12" t="inlineStr">
        <is>
          <t>mobile·provider·BE</t>
        </is>
      </c>
      <c r="E24" s="12" t="inlineStr">
        <is>
          <t>회원 QR + provider 스캔/코드입력 + 친구초대 QR</t>
        </is>
      </c>
      <c r="F24" s="14" t="inlineStr">
        <is>
          <t>⬜</t>
        </is>
      </c>
      <c r="G24" s="16">
        <f>IF(F24="✅",1,IF(F24="🔄",0.5,IF(F24="◑",0.7,IF(F24="🔎",0.9,0))))</f>
        <v/>
      </c>
      <c r="H24" s="17" t="inlineStr"/>
      <c r="I24" s="18" t="inlineStr">
        <is>
          <t>2026-07-초~중</t>
        </is>
      </c>
      <c r="J24" s="18" t="inlineStr"/>
      <c r="K24" s="18" t="inlineStr">
        <is>
          <t>P9 이후 병행</t>
        </is>
      </c>
      <c r="L24" s="12" t="n"/>
    </row>
  </sheetData>
  <dataValidations count="1">
    <dataValidation sqref="F2:F24" showDropDown="0" showInputMessage="0" showErrorMessage="0" allowBlank="1" type="list">
      <formula1>"⬜,🔄,🔎,◑,✅"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8" customWidth="1" min="4" max="4"/>
    <col width="36" customWidth="1" min="5" max="5"/>
  </cols>
  <sheetData>
    <row r="1" ht="28" customHeight="1">
      <c r="A1" s="9" t="inlineStr">
        <is>
          <t>단계</t>
        </is>
      </c>
      <c r="B1" s="9" t="inlineStr">
        <is>
          <t>내용</t>
        </is>
      </c>
      <c r="C1" s="9" t="inlineStr">
        <is>
          <t>예상 기간</t>
        </is>
      </c>
      <c r="D1" s="9" t="inlineStr">
        <is>
          <t>누적</t>
        </is>
      </c>
      <c r="E1" s="9" t="inlineStr">
        <is>
          <t>비고</t>
        </is>
      </c>
    </row>
    <row r="2">
      <c r="A2" s="12" t="inlineStr">
        <is>
          <t>이전 작업 (~Phase 0)</t>
        </is>
      </c>
      <c r="B2" s="12" t="inlineStr">
        <is>
          <t>PR #1~#51 + 디자인 통합 + 51 PR 머지</t>
        </is>
      </c>
      <c r="C2" s="12" t="inlineStr">
        <is>
          <t>~수개월</t>
        </is>
      </c>
      <c r="D2" s="12" t="inlineStr">
        <is>
          <t>2026-05-21</t>
        </is>
      </c>
      <c r="E2" s="12" t="inlineStr">
        <is>
          <t>완료 — 코드 측면 출시 직전</t>
        </is>
      </c>
    </row>
    <row r="3">
      <c r="A3" s="12" t="inlineStr">
        <is>
          <t>Phase 0 전수 감사</t>
        </is>
      </c>
      <c r="B3" s="12" t="inlineStr">
        <is>
          <t>갭 리스트 14 Critical + High 발굴</t>
        </is>
      </c>
      <c r="C3" s="12" t="inlineStr">
        <is>
          <t>~1일</t>
        </is>
      </c>
      <c r="D3" s="12" t="inlineStr">
        <is>
          <t>2026-05-21</t>
        </is>
      </c>
      <c r="E3" s="12" t="inlineStr">
        <is>
          <t>완료</t>
        </is>
      </c>
    </row>
    <row r="4">
      <c r="A4" s="12" t="inlineStr">
        <is>
          <t>Phase 1 인프라</t>
        </is>
      </c>
      <c r="B4" s="12" t="inlineStr">
        <is>
          <t>P1~P3</t>
        </is>
      </c>
      <c r="C4" s="12" t="inlineStr">
        <is>
          <t>~4일</t>
        </is>
      </c>
      <c r="D4" s="12" t="inlineStr">
        <is>
          <t>2026-05-22</t>
        </is>
      </c>
      <c r="E4" s="12" t="inlineStr">
        <is>
          <t>완료</t>
        </is>
      </c>
    </row>
    <row r="5">
      <c r="A5" s="12" t="inlineStr">
        <is>
          <t>Phase 1 Critical</t>
        </is>
      </c>
      <c r="B5" s="12" t="inlineStr">
        <is>
          <t>P4~P13 (10 PR)</t>
        </is>
      </c>
      <c r="C5" s="12" t="inlineStr">
        <is>
          <t>~2주</t>
        </is>
      </c>
      <c r="D5" s="12" t="inlineStr">
        <is>
          <t>2026-06-중</t>
        </is>
      </c>
      <c r="E5" s="12" t="inlineStr">
        <is>
          <t>P4~P8 완료</t>
        </is>
      </c>
    </row>
    <row r="6">
      <c r="A6" s="12" t="inlineStr">
        <is>
          <t>Phase 1 WiFi 로밍 B</t>
        </is>
      </c>
      <c r="B6" s="12" t="inlineStr">
        <is>
          <t>P14~P19 (6 PR)</t>
        </is>
      </c>
      <c r="C6" s="12" t="inlineStr">
        <is>
          <t>~2.5~3주</t>
        </is>
      </c>
      <c r="D6" s="12" t="inlineStr">
        <is>
          <t>2026-07-초~중</t>
        </is>
      </c>
      <c r="E6" s="12" t="inlineStr">
        <is>
          <t>feature flag</t>
        </is>
      </c>
    </row>
    <row r="7">
      <c r="A7" s="12" t="inlineStr">
        <is>
          <t>Phase 1 회원 QR</t>
        </is>
      </c>
      <c r="B7" s="12" t="inlineStr">
        <is>
          <t>P22 (P9 이후 병행)</t>
        </is>
      </c>
      <c r="C7" s="12" t="inlineStr">
        <is>
          <t>~1주</t>
        </is>
      </c>
      <c r="D7" s="12" t="inlineStr">
        <is>
          <t>2026-07-초~중</t>
        </is>
      </c>
      <c r="E7" s="12" t="inlineStr"/>
    </row>
    <row r="8">
      <c r="A8" s="12" t="inlineStr">
        <is>
          <t>Phase 1 심의 마무리</t>
        </is>
      </c>
      <c r="B8" s="12" t="inlineStr">
        <is>
          <t>P20~P21</t>
        </is>
      </c>
      <c r="C8" s="12" t="inlineStr">
        <is>
          <t>~3일</t>
        </is>
      </c>
      <c r="D8" s="12" t="inlineStr">
        <is>
          <t>2026-07-중</t>
        </is>
      </c>
      <c r="E8" s="12" t="inlineStr"/>
    </row>
    <row r="9">
      <c r="A9" s="12" t="inlineStr">
        <is>
          <t>Phase 2~4 테스트·시드</t>
        </is>
      </c>
      <c r="B9" s="12" t="inlineStr">
        <is>
          <t>6 페르소나 + 시나리오 검증</t>
        </is>
      </c>
      <c r="C9" s="12" t="inlineStr">
        <is>
          <t>~1.5주</t>
        </is>
      </c>
      <c r="D9" s="12" t="inlineStr">
        <is>
          <t>2026-07-중~하순</t>
        </is>
      </c>
      <c r="E9" s="12" t="inlineStr"/>
    </row>
    <row r="10">
      <c r="A10" s="12" t="inlineStr">
        <is>
          <t>Phase 5 제출 준비</t>
        </is>
      </c>
      <c r="B10" s="12" t="inlineStr">
        <is>
          <t>빌드 + 스토어 메타데이터</t>
        </is>
      </c>
      <c r="C10" s="12" t="inlineStr">
        <is>
          <t>며칠</t>
        </is>
      </c>
      <c r="D10" s="12" t="inlineStr">
        <is>
          <t>2026-07-하순</t>
        </is>
      </c>
      <c r="E10" s="12" t="inlineStr"/>
    </row>
    <row r="11">
      <c r="A11" s="12" t="inlineStr">
        <is>
          <t>출시</t>
        </is>
      </c>
      <c r="B11" s="12" t="inlineStr">
        <is>
          <t>앱스토어/Play 공개</t>
        </is>
      </c>
      <c r="C11" s="12" t="inlineStr">
        <is>
          <t>—</t>
        </is>
      </c>
      <c r="D11" s="12" t="inlineStr">
        <is>
          <t>2026-07-하순~8월 초</t>
        </is>
      </c>
      <c r="E11" s="12" t="inlineStr"/>
    </row>
    <row r="12">
      <c r="A12" s="12" t="inlineStr">
        <is>
          <t>외부 서비스 신청 시작</t>
        </is>
      </c>
      <c r="B12" s="12" t="inlineStr">
        <is>
          <t>법인카드 수취 후 일괄 신청</t>
        </is>
      </c>
      <c r="C12" s="12" t="inlineStr">
        <is>
          <t>~1주 (심사 1~2주)</t>
        </is>
      </c>
      <c r="D12" s="12" t="inlineStr">
        <is>
          <t>2026-06-02 주</t>
        </is>
      </c>
      <c r="E12" s="12" t="inlineStr">
        <is>
          <t>카카오·솔라피·토스 심사 병행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2026-05-23T03:02:46Z</dcterms:created>
  <dcterms:modified xmlns:dcterms="http://purl.org/dc/terms/" xmlns:xsi="http://www.w3.org/2001/XMLSchema-instance" xsi:type="dcterms:W3CDTF">2026-05-23T03:02:46Z</dcterms:modified>
</cp:coreProperties>
</file>