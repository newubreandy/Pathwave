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기능별 전체 현황" sheetId="2" state="visible" r:id="rId2"/>
    <sheet xmlns:r="http://schemas.openxmlformats.org/officeDocument/2006/relationships" name="Phase 1 PR 체크리스트" sheetId="3" state="visible" r:id="rId3"/>
    <sheet xmlns:r="http://schemas.openxmlformats.org/officeDocument/2006/relationships" name="단계별 일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-"/>
    <numFmt numFmtId="165" formatCode="yyyy-mm-dd"/>
  </numFmts>
  <fonts count="8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</font>
    <font>
      <name val="맑은 고딕"/>
      <b val="1"/>
      <color rgb="00FFFFFF"/>
      <sz val="11"/>
    </font>
    <font>
      <name val="맑은 고딕"/>
      <color rgb="000000FF"/>
    </font>
    <font>
      <name val="맑은 고딕"/>
      <color rgb="00008000"/>
    </font>
    <font>
      <name val="맑은 고딕"/>
      <b val="1"/>
      <color rgb="001F4E78"/>
    </font>
    <font>
      <name val="맑은 고딕"/>
      <color theme="1"/>
      <sz val="11"/>
    </font>
  </fonts>
  <fills count="13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EAEA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10" borderId="1" applyAlignment="1" pivotButton="0" quotePrefix="0" xfId="0">
      <alignment horizontal="center"/>
    </xf>
    <xf numFmtId="0" fontId="7" fillId="0" borderId="1" pivotButton="0" quotePrefix="0" xfId="0"/>
    <xf numFmtId="0" fontId="5" fillId="0" borderId="1" pivotButton="0" quotePrefix="0" xfId="0"/>
    <xf numFmtId="164" fontId="5" fillId="12" borderId="1" pivotButton="0" quotePrefix="0" xfId="0"/>
    <xf numFmtId="0" fontId="6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2" borderId="0" pivotButton="0" quotePrefix="0" xfId="0"/>
    <xf numFmtId="0" fontId="2" fillId="9" borderId="0" pivotButton="0" quotePrefix="0" xfId="0"/>
    <xf numFmtId="0" fontId="3" fillId="1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</cols>
  <sheetData>
    <row r="1">
      <c r="A1" s="1" t="inlineStr">
        <is>
          <t>PathWave 개발 체크리스트 요약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지표</t>
        </is>
      </c>
      <c r="B3" s="3" t="inlineStr">
        <is>
          <t>값</t>
        </is>
      </c>
      <c r="C3" s="2" t="n"/>
    </row>
    <row r="4">
      <c r="A4" s="4" t="inlineStr">
        <is>
          <t>총 PR 수 (Phase 1)</t>
        </is>
      </c>
      <c r="B4" s="5">
        <f>COUNTA('Phase 1 PR 체크리스트'!A2:A30)</f>
        <v/>
      </c>
      <c r="C4" s="2" t="n"/>
    </row>
    <row r="5">
      <c r="A5" s="4" t="inlineStr">
        <is>
          <t>완료 (✅)</t>
        </is>
      </c>
      <c r="B5" s="5">
        <f>COUNTIF('Phase 1 PR 체크리스트'!F2:F30,"✅")</f>
        <v/>
      </c>
      <c r="C5" s="2" t="n"/>
    </row>
    <row r="6">
      <c r="A6" s="4" t="inlineStr">
        <is>
          <t>부분 완료 (◑)</t>
        </is>
      </c>
      <c r="B6" s="5">
        <f>COUNTIF('Phase 1 PR 체크리스트'!F2:F30,"◑")</f>
        <v/>
      </c>
      <c r="C6" s="2" t="n"/>
    </row>
    <row r="7">
      <c r="A7" s="4" t="inlineStr">
        <is>
          <t>진행중 (🔄)</t>
        </is>
      </c>
      <c r="B7" s="5">
        <f>COUNTIF('Phase 1 PR 체크리스트'!F2:F30,"🔄")</f>
        <v/>
      </c>
      <c r="C7" s="2" t="n"/>
    </row>
    <row r="8">
      <c r="A8" s="4" t="inlineStr">
        <is>
          <t>검토중 (🔎)</t>
        </is>
      </c>
      <c r="B8" s="5">
        <f>COUNTIF('Phase 1 PR 체크리스트'!F2:F30,"🔎")</f>
        <v/>
      </c>
      <c r="C8" s="2" t="n"/>
    </row>
    <row r="9">
      <c r="A9" s="4" t="inlineStr">
        <is>
          <t>대기 (⬜)</t>
        </is>
      </c>
      <c r="B9" s="5">
        <f>COUNTIF('Phase 1 PR 체크리스트'!F2:F30,"⬜")</f>
        <v/>
      </c>
      <c r="C9" s="2" t="n"/>
    </row>
    <row r="10">
      <c r="A10" s="4" t="inlineStr">
        <is>
          <t>가중 평균 진척율</t>
        </is>
      </c>
      <c r="B10" s="6">
        <f>AVERAGE('Phase 1 PR 체크리스트'!G2:G30)</f>
        <v/>
      </c>
      <c r="C10" s="2" t="n"/>
    </row>
    <row r="11">
      <c r="A11" s="4" t="inlineStr">
        <is>
          <t>업데이트 일자</t>
        </is>
      </c>
      <c r="B11" s="4" t="inlineStr">
        <is>
          <t>2026-05-23</t>
        </is>
      </c>
      <c r="C11" s="2" t="n"/>
    </row>
    <row r="12">
      <c r="A12" s="4" t="inlineStr">
        <is>
          <t>외부 서비스 신청 시작</t>
        </is>
      </c>
      <c r="B12" s="4" t="inlineStr">
        <is>
          <t>2026-06-02 주</t>
        </is>
      </c>
      <c r="C12" s="2" t="n"/>
    </row>
    <row r="13">
      <c r="A13" s="4" t="inlineStr">
        <is>
          <t>Phase 1.5 개발환경+테스트</t>
        </is>
      </c>
      <c r="B13" s="4" t="inlineStr">
        <is>
          <t>2026-07 중~하순 (신규 단계)</t>
        </is>
      </c>
      <c r="C13" s="2" t="n"/>
    </row>
    <row r="14">
      <c r="A14" s="4" t="inlineStr">
        <is>
          <t>목표 출시일</t>
        </is>
      </c>
      <c r="B14" s="4" t="inlineStr">
        <is>
          <t>2026-07-하순~8월 초</t>
        </is>
      </c>
      <c r="C14" s="2" t="n"/>
    </row>
    <row r="15">
      <c r="A15" s="7" t="inlineStr">
        <is>
          <t>주체 컬러 범례</t>
        </is>
      </c>
      <c r="B15" s="2" t="n"/>
      <c r="C15" s="2" t="n"/>
    </row>
    <row r="16">
      <c r="A16" s="8" t="inlineStr">
        <is>
          <t>사용자</t>
        </is>
      </c>
      <c r="B16" s="2" t="inlineStr">
        <is>
          <t>mobile 앱 사용자 (앱 손님)</t>
        </is>
      </c>
      <c r="C16" s="2" t="n"/>
    </row>
    <row r="17">
      <c r="A17" s="9" t="inlineStr">
        <is>
          <t>시설관리자</t>
        </is>
      </c>
      <c r="B17" s="2" t="inlineStr">
        <is>
          <t>provider-web 점주</t>
        </is>
      </c>
      <c r="C17" s="2" t="n"/>
    </row>
    <row r="18">
      <c r="A18" s="10" t="inlineStr">
        <is>
          <t>슈퍼어드민</t>
        </is>
      </c>
      <c r="B18" s="2" t="inlineStr">
        <is>
          <t>admin-web 운영자</t>
        </is>
      </c>
      <c r="C18" s="2" t="n"/>
    </row>
    <row r="19">
      <c r="A19" s="11" t="inlineStr">
        <is>
          <t>공통-BE</t>
        </is>
      </c>
      <c r="B19" s="2" t="inlineStr">
        <is>
          <t>백엔드 (다중 영향)</t>
        </is>
      </c>
      <c r="C19" s="2" t="n"/>
    </row>
    <row r="20">
      <c r="A20" s="12" t="inlineStr">
        <is>
          <t>인프라</t>
        </is>
      </c>
      <c r="B20" s="2" t="inlineStr">
        <is>
          <t>운영 인프라/도구/심의 메타</t>
        </is>
      </c>
      <c r="C20" s="2" t="n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32" customWidth="1" min="4" max="4"/>
    <col width="56" customWidth="1" min="5" max="5"/>
    <col width="8" customWidth="1" min="6" max="6"/>
    <col width="28" customWidth="1" min="7" max="7"/>
  </cols>
  <sheetData>
    <row r="1">
      <c r="A1" s="1" t="inlineStr">
        <is>
          <t>PathWave 기능별 전체 작업 현황 — 주체별 + 이전 완료 / Phase 1 / 남은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 ht="28" customHeight="1">
      <c r="A3" s="13" t="inlineStr">
        <is>
          <t>주체</t>
        </is>
      </c>
      <c r="B3" s="13" t="inlineStr">
        <is>
          <t>도메인/기능</t>
        </is>
      </c>
      <c r="C3" s="13" t="inlineStr">
        <is>
          <t>단계</t>
        </is>
      </c>
      <c r="D3" s="13" t="inlineStr">
        <is>
          <t>항목</t>
        </is>
      </c>
      <c r="E3" s="13" t="inlineStr">
        <is>
          <t>내용</t>
        </is>
      </c>
      <c r="F3" s="13" t="inlineStr">
        <is>
          <t>상태</t>
        </is>
      </c>
      <c r="G3" s="13" t="inlineStr">
        <is>
          <t>비고</t>
        </is>
      </c>
    </row>
    <row r="4">
      <c r="A4" s="14" t="inlineStr">
        <is>
          <t>공통-BE</t>
        </is>
      </c>
      <c r="B4" s="15" t="inlineStr">
        <is>
          <t>인증/회원가입</t>
        </is>
      </c>
      <c r="C4" s="16" t="inlineStr">
        <is>
          <t>이전 완료</t>
        </is>
      </c>
      <c r="D4" s="16" t="inlineStr">
        <is>
          <t>이메일 인증·가입 API</t>
        </is>
      </c>
      <c r="E4" s="16" t="inlineStr">
        <is>
          <t>/api/auth send-code·verify-code·register·login + email_codes + bcrypt + JWT</t>
        </is>
      </c>
      <c r="F4" s="17" t="inlineStr">
        <is>
          <t>✅</t>
        </is>
      </c>
      <c r="G4" s="16" t="inlineStr"/>
    </row>
    <row r="5">
      <c r="A5" s="14" t="inlineStr">
        <is>
          <t>공통-BE</t>
        </is>
      </c>
      <c r="B5" s="16" t="inlineStr">
        <is>
          <t>인증/회원가입</t>
        </is>
      </c>
      <c r="C5" s="16" t="inlineStr">
        <is>
          <t>이전 완료</t>
        </is>
      </c>
      <c r="D5" s="16" t="inlineStr">
        <is>
          <t>5종 소셜 로그인 BE</t>
        </is>
      </c>
      <c r="E5" s="16" t="inlineStr">
        <is>
          <t>Google·Apple·Facebook·Kakao·Naver 토큰 검증 + 동의 처리</t>
        </is>
      </c>
      <c r="F5" s="17" t="inlineStr">
        <is>
          <t>✅</t>
        </is>
      </c>
      <c r="G5" s="16" t="inlineStr">
        <is>
          <t>실 키는 카카오·네이버 검수 후</t>
        </is>
      </c>
    </row>
    <row r="6">
      <c r="A6" s="14" t="inlineStr">
        <is>
          <t>공통-BE</t>
        </is>
      </c>
      <c r="B6" s="16" t="inlineStr">
        <is>
          <t>인증/회원가입</t>
        </is>
      </c>
      <c r="C6" s="16" t="inlineStr">
        <is>
          <t>이전 완료</t>
        </is>
      </c>
      <c r="D6" s="16" t="inlineStr">
        <is>
          <t>동의·약관·미성년자 BE</t>
        </is>
      </c>
      <c r="E6" s="16" t="inlineStr">
        <is>
          <t>8 KIND 정책 + record_consents 감사 + parent_invite 코드</t>
        </is>
      </c>
      <c r="F6" s="17" t="inlineStr">
        <is>
          <t>✅</t>
        </is>
      </c>
      <c r="G6" s="16" t="inlineStr"/>
    </row>
    <row r="7">
      <c r="A7" s="14" t="inlineStr">
        <is>
          <t>공통-BE</t>
        </is>
      </c>
      <c r="B7" s="16" t="inlineStr">
        <is>
          <t>인증/회원가입</t>
        </is>
      </c>
      <c r="C7" s="16" t="inlineStr">
        <is>
          <t>이전 완료</t>
        </is>
      </c>
      <c r="D7" s="16" t="inlineStr">
        <is>
          <t>회원 탈퇴 + 14일 그레이스</t>
        </is>
      </c>
      <c r="E7" s="16" t="inlineStr">
        <is>
          <t>/api/auth/delete-account + soft delete + deleted_at</t>
        </is>
      </c>
      <c r="F7" s="17" t="inlineStr">
        <is>
          <t>✅</t>
        </is>
      </c>
      <c r="G7" s="16" t="inlineStr"/>
    </row>
    <row r="8">
      <c r="A8" s="14" t="inlineStr">
        <is>
          <t>공통-BE</t>
        </is>
      </c>
      <c r="B8" s="16" t="inlineStr">
        <is>
          <t>인증/회원가입</t>
        </is>
      </c>
      <c r="C8" s="16" t="inlineStr">
        <is>
          <t>이전 완료</t>
        </is>
      </c>
      <c r="D8" s="16" t="inlineStr">
        <is>
          <t>모바일 비번 재설정 BE</t>
        </is>
      </c>
      <c r="E8" s="16" t="inlineStr">
        <is>
          <t>/api/auth/forgot-password·reset-password (users 테이블)</t>
        </is>
      </c>
      <c r="F8" s="17" t="inlineStr">
        <is>
          <t>✅</t>
        </is>
      </c>
      <c r="G8" s="16" t="inlineStr"/>
    </row>
    <row r="9">
      <c r="A9" s="14" t="inlineStr">
        <is>
          <t>공통-BE</t>
        </is>
      </c>
      <c r="B9" s="16" t="inlineStr">
        <is>
          <t>인증/회원가입</t>
        </is>
      </c>
      <c r="C9" s="16" t="inlineStr">
        <is>
          <t>이전 완료</t>
        </is>
      </c>
      <c r="D9" s="16" t="inlineStr">
        <is>
          <t>시설 계정 가입·로그인 BE</t>
        </is>
      </c>
      <c r="E9" s="16" t="inlineStr">
        <is>
          <t>/api/facility send-code·register·login + 운영자 승인 대기</t>
        </is>
      </c>
      <c r="F9" s="17" t="inlineStr">
        <is>
          <t>✅</t>
        </is>
      </c>
      <c r="G9" s="16" t="inlineStr"/>
    </row>
    <row r="10">
      <c r="A10" s="14" t="inlineStr">
        <is>
          <t>공통-BE</t>
        </is>
      </c>
      <c r="B10" s="16" t="inlineStr">
        <is>
          <t>인증/회원가입</t>
        </is>
      </c>
      <c r="C10" s="16" t="inlineStr">
        <is>
          <t>Phase 1 ✅</t>
        </is>
      </c>
      <c r="D10" s="16" t="inlineStr">
        <is>
          <t>P4 — 시설 비번 재설정 BE 신규</t>
        </is>
      </c>
      <c r="E10" s="16" t="inlineStr">
        <is>
          <t>/api/facility/forgot-password·reset-password 신규 (email_codes 재활용)</t>
        </is>
      </c>
      <c r="F10" s="17" t="inlineStr">
        <is>
          <t>✅</t>
        </is>
      </c>
      <c r="G10" s="16" t="inlineStr"/>
    </row>
    <row r="11">
      <c r="A11" s="18" t="inlineStr">
        <is>
          <t>사용자</t>
        </is>
      </c>
      <c r="B11" s="16" t="inlineStr">
        <is>
          <t>인증/회원가입</t>
        </is>
      </c>
      <c r="C11" s="16" t="inlineStr">
        <is>
          <t>이전 완료</t>
        </is>
      </c>
      <c r="D11" s="16" t="inlineStr">
        <is>
          <t>mobile 가입 5단계</t>
        </is>
      </c>
      <c r="E11" s="16" t="inlineStr">
        <is>
          <t>consent → 본인인증 → 이메일/소셜 → 약관 동의 → 완료</t>
        </is>
      </c>
      <c r="F11" s="17" t="inlineStr">
        <is>
          <t>✅</t>
        </is>
      </c>
      <c r="G11" s="16" t="inlineStr"/>
    </row>
    <row r="12">
      <c r="A12" s="18" t="inlineStr">
        <is>
          <t>사용자</t>
        </is>
      </c>
      <c r="B12" s="16" t="inlineStr">
        <is>
          <t>인증/회원가입</t>
        </is>
      </c>
      <c r="C12" s="16" t="inlineStr">
        <is>
          <t>이전 완료</t>
        </is>
      </c>
      <c r="D12" s="16" t="inlineStr">
        <is>
          <t>mobile 로그인·비번재설정</t>
        </is>
      </c>
      <c r="E12" s="16" t="inlineStr">
        <is>
          <t>login_screen + forgot_password_screen (2단계 코드)</t>
        </is>
      </c>
      <c r="F12" s="17" t="inlineStr">
        <is>
          <t>✅</t>
        </is>
      </c>
      <c r="G12" s="16" t="inlineStr"/>
    </row>
    <row r="13">
      <c r="A13" s="18" t="inlineStr">
        <is>
          <t>사용자</t>
        </is>
      </c>
      <c r="B13" s="16" t="inlineStr">
        <is>
          <t>인증/회원가입</t>
        </is>
      </c>
      <c r="C13" s="16" t="inlineStr">
        <is>
          <t>이전 완료</t>
        </is>
      </c>
      <c r="D13" s="16" t="inlineStr">
        <is>
          <t>mobile 회원 탈퇴</t>
        </is>
      </c>
      <c r="E13" s="16" t="inlineStr">
        <is>
          <t>delete_account_screen + 14일 그레이스</t>
        </is>
      </c>
      <c r="F13" s="17" t="inlineStr">
        <is>
          <t>✅</t>
        </is>
      </c>
      <c r="G13" s="16" t="inlineStr"/>
    </row>
    <row r="14">
      <c r="A14" s="19" t="inlineStr">
        <is>
          <t>시설관리자</t>
        </is>
      </c>
      <c r="B14" s="16" t="inlineStr">
        <is>
          <t>인증/회원가입</t>
        </is>
      </c>
      <c r="C14" s="16" t="inlineStr">
        <is>
          <t>이전 완료</t>
        </is>
      </c>
      <c r="D14" s="16" t="inlineStr">
        <is>
          <t>provider 회원가입·로그인 UI</t>
        </is>
      </c>
      <c r="E14" s="16" t="inlineStr">
        <is>
          <t>실 폼 + 소셜로그인 + 매장 정보 입력</t>
        </is>
      </c>
      <c r="F14" s="17" t="inlineStr">
        <is>
          <t>✅</t>
        </is>
      </c>
      <c r="G14" s="16" t="inlineStr">
        <is>
          <t>폼은 dev 우회로 가려졌었음</t>
        </is>
      </c>
    </row>
    <row r="15">
      <c r="A15" s="19" t="inlineStr">
        <is>
          <t>시설관리자</t>
        </is>
      </c>
      <c r="B15" s="16" t="inlineStr">
        <is>
          <t>인증/회원가입</t>
        </is>
      </c>
      <c r="C15" s="16" t="inlineStr">
        <is>
          <t>Phase 1 ✅</t>
        </is>
      </c>
      <c r="D15" s="16" t="inlineStr">
        <is>
          <t>P4 — provider dev 우회 제거</t>
        </is>
      </c>
      <c r="E15" s="16" t="inlineStr">
        <is>
          <t>DEV_AUTO_LOGIN env 게이트 + Login 자동토큰 제거 + Signup 게스트 게이트</t>
        </is>
      </c>
      <c r="F15" s="17" t="inlineStr">
        <is>
          <t>✅</t>
        </is>
      </c>
      <c r="G15" s="16" t="inlineStr">
        <is>
          <t>출시 빌드에서 실 로그인폼 노출</t>
        </is>
      </c>
    </row>
    <row r="16">
      <c r="A16" s="19" t="inlineStr">
        <is>
          <t>시설관리자</t>
        </is>
      </c>
      <c r="B16" s="16" t="inlineStr">
        <is>
          <t>인증/회원가입</t>
        </is>
      </c>
      <c r="C16" s="16" t="inlineStr">
        <is>
          <t>Phase 1 ✅</t>
        </is>
      </c>
      <c r="D16" s="16" t="inlineStr">
        <is>
          <t>P4 — provider ForgotPassword 페이지</t>
        </is>
      </c>
      <c r="E16" s="16" t="inlineStr">
        <is>
          <t>/forgot-password 라우트 + 2단계 UI + AuthService 메서드</t>
        </is>
      </c>
      <c r="F16" s="17" t="inlineStr">
        <is>
          <t>✅</t>
        </is>
      </c>
      <c r="G16" s="16" t="inlineStr"/>
    </row>
    <row r="17">
      <c r="A17" s="20" t="inlineStr">
        <is>
          <t>슈퍼어드민</t>
        </is>
      </c>
      <c r="B17" s="16" t="inlineStr">
        <is>
          <t>인증/회원가입</t>
        </is>
      </c>
      <c r="C17" s="16" t="inlineStr">
        <is>
          <t>이전 완료</t>
        </is>
      </c>
      <c r="D17" s="16" t="inlineStr">
        <is>
          <t>admin Login + 관리자 인증</t>
        </is>
      </c>
      <c r="E17" s="16" t="inlineStr">
        <is>
          <t>admin-web Login + JWT + RequireAuth</t>
        </is>
      </c>
      <c r="F17" s="17" t="inlineStr">
        <is>
          <t>✅</t>
        </is>
      </c>
      <c r="G17" s="16" t="inlineStr"/>
    </row>
    <row r="18">
      <c r="A18" s="14" t="inlineStr">
        <is>
          <t>공통-BE</t>
        </is>
      </c>
      <c r="B18" s="16" t="inlineStr">
        <is>
          <t>인증/회원가입</t>
        </is>
      </c>
      <c r="C18" s="16" t="inlineStr">
        <is>
          <t>남은</t>
        </is>
      </c>
      <c r="D18" s="16" t="inlineStr">
        <is>
          <t>실 키 검증</t>
        </is>
      </c>
      <c r="E18" s="16" t="inlineStr">
        <is>
          <t>카카오·네이버 검수 완료 후 실 소셜로그인 통합 테스트</t>
        </is>
      </c>
      <c r="F18" s="21" t="inlineStr">
        <is>
          <t>⬜</t>
        </is>
      </c>
      <c r="G18" s="16" t="inlineStr">
        <is>
          <t>외부 활성화 후</t>
        </is>
      </c>
    </row>
    <row r="19">
      <c r="A19" s="14" t="inlineStr">
        <is>
          <t>공통-BE</t>
        </is>
      </c>
      <c r="B19" s="15" t="inlineStr">
        <is>
          <t>매장 정보</t>
        </is>
      </c>
      <c r="C19" s="16" t="inlineStr">
        <is>
          <t>이전 완료</t>
        </is>
      </c>
      <c r="D19" s="16" t="inlineStr">
        <is>
          <t>매장 CRUD API</t>
        </is>
      </c>
      <c r="E19" s="16" t="inlineStr">
        <is>
          <t>/api/facilities CRUD + 이미지 갤러리 + 다국어 번역 캐시</t>
        </is>
      </c>
      <c r="F19" s="17" t="inlineStr">
        <is>
          <t>✅</t>
        </is>
      </c>
      <c r="G19" s="16" t="inlineStr"/>
    </row>
    <row r="20">
      <c r="A20" s="18" t="inlineStr">
        <is>
          <t>사용자</t>
        </is>
      </c>
      <c r="B20" s="16" t="inlineStr">
        <is>
          <t>매장 정보</t>
        </is>
      </c>
      <c r="C20" s="16" t="inlineStr">
        <is>
          <t>이전 완료</t>
        </is>
      </c>
      <c r="D20" s="16" t="inlineStr">
        <is>
          <t>mobile 매장 상세 화면</t>
        </is>
      </c>
      <c r="E20" s="16" t="inlineStr">
        <is>
          <t>facility_screen — 이미지/영업시간/주소/채팅 진입</t>
        </is>
      </c>
      <c r="F20" s="17" t="inlineStr">
        <is>
          <t>✅</t>
        </is>
      </c>
      <c r="G20" s="16" t="inlineStr"/>
    </row>
    <row r="21">
      <c r="A21" s="19" t="inlineStr">
        <is>
          <t>시설관리자</t>
        </is>
      </c>
      <c r="B21" s="16" t="inlineStr">
        <is>
          <t>매장 정보</t>
        </is>
      </c>
      <c r="C21" s="16" t="inlineStr">
        <is>
          <t>이전 완료</t>
        </is>
      </c>
      <c r="D21" s="16" t="inlineStr">
        <is>
          <t>provider StoreInfo UI 골격</t>
        </is>
      </c>
      <c r="E21" s="16" t="inlineStr">
        <is>
          <t>편집/저장/지도/이미지/비콘 claim UI 완성, 데이터는 mock</t>
        </is>
      </c>
      <c r="F21" s="17" t="inlineStr">
        <is>
          <t>✅</t>
        </is>
      </c>
      <c r="G21" s="16" t="inlineStr">
        <is>
          <t>데이터 연동은 P5</t>
        </is>
      </c>
    </row>
    <row r="22">
      <c r="A22" s="19" t="inlineStr">
        <is>
          <t>시설관리자</t>
        </is>
      </c>
      <c r="B22" s="16" t="inlineStr">
        <is>
          <t>매장 정보</t>
        </is>
      </c>
      <c r="C22" s="16" t="inlineStr">
        <is>
          <t>Phase 1 ✅</t>
        </is>
      </c>
      <c r="D22" s="16" t="inlineStr">
        <is>
          <t>P5 — provider StoreInfo 실연동</t>
        </is>
      </c>
      <c r="E22" s="16" t="inlineStr">
        <is>
          <t>StoreService.list/update PATCH 실연동 + 실 fid 비콘 claim</t>
        </is>
      </c>
      <c r="F22" s="17" t="inlineStr">
        <is>
          <t>✅</t>
        </is>
      </c>
      <c r="G22" s="16" t="inlineStr"/>
    </row>
    <row r="23">
      <c r="A23" s="19" t="inlineStr">
        <is>
          <t>시설관리자</t>
        </is>
      </c>
      <c r="B23" s="16" t="inlineStr">
        <is>
          <t>매장 정보</t>
        </is>
      </c>
      <c r="C23" s="16" t="inlineStr">
        <is>
          <t>Phase 1 ✅</t>
        </is>
      </c>
      <c r="D23" s="16" t="inlineStr">
        <is>
          <t>P5 — Settings 푸터 PwFooter</t>
        </is>
      </c>
      <c r="E23" s="16" t="inlineStr">
        <is>
          <t>CompanyInfoService → 실 법인정보</t>
        </is>
      </c>
      <c r="F23" s="17" t="inlineStr">
        <is>
          <t>✅</t>
        </is>
      </c>
      <c r="G23" s="16" t="inlineStr"/>
    </row>
    <row r="24">
      <c r="A24" s="19" t="inlineStr">
        <is>
          <t>시설관리자</t>
        </is>
      </c>
      <c r="B24" s="16" t="inlineStr">
        <is>
          <t>매장 정보</t>
        </is>
      </c>
      <c r="C24" s="16" t="inlineStr">
        <is>
          <t>Phase 1 ✅</t>
        </is>
      </c>
      <c r="D24" s="16" t="inlineStr">
        <is>
          <t>P5 — dead code 정리</t>
        </is>
      </c>
      <c r="E24" s="16" t="inlineStr">
        <is>
          <t>Facilities.jsx (1계정1매장 위반) 삭제</t>
        </is>
      </c>
      <c r="F24" s="17" t="inlineStr">
        <is>
          <t>✅</t>
        </is>
      </c>
      <c r="G24" s="16" t="inlineStr"/>
    </row>
    <row r="25">
      <c r="A25" s="20" t="inlineStr">
        <is>
          <t>슈퍼어드민</t>
        </is>
      </c>
      <c r="B25" s="16" t="inlineStr">
        <is>
          <t>매장 정보</t>
        </is>
      </c>
      <c r="C25" s="16" t="inlineStr">
        <is>
          <t>이전 완료</t>
        </is>
      </c>
      <c r="D25" s="16" t="inlineStr">
        <is>
          <t>admin Stores 관리</t>
        </is>
      </c>
      <c r="E25" s="16" t="inlineStr">
        <is>
          <t>매장 관리 + 비콘 매핑 + 번역 등록</t>
        </is>
      </c>
      <c r="F25" s="17" t="inlineStr">
        <is>
          <t>✅</t>
        </is>
      </c>
      <c r="G25" s="16" t="inlineStr"/>
    </row>
    <row r="26">
      <c r="A26" s="14" t="inlineStr">
        <is>
          <t>공통-BE</t>
        </is>
      </c>
      <c r="B26" s="16" t="inlineStr">
        <is>
          <t>매장 정보</t>
        </is>
      </c>
      <c r="C26" s="16" t="inlineStr">
        <is>
          <t>남은</t>
        </is>
      </c>
      <c r="D26" s="16" t="inlineStr">
        <is>
          <t>P8c — 스키마 갭</t>
        </is>
      </c>
      <c r="E26" s="16" t="inlineStr">
        <is>
          <t>facilities 테이블 category/holidays/detailAddress 추가 또는 UI 정리</t>
        </is>
      </c>
      <c r="F26" s="21" t="inlineStr">
        <is>
          <t>⬜</t>
        </is>
      </c>
      <c r="G26" s="16" t="inlineStr">
        <is>
          <t>별도 작업 칩</t>
        </is>
      </c>
    </row>
    <row r="27">
      <c r="A27" s="14" t="inlineStr">
        <is>
          <t>공통-BE</t>
        </is>
      </c>
      <c r="B27" s="15" t="inlineStr">
        <is>
          <t>결제·구독</t>
        </is>
      </c>
      <c r="C27" s="16" t="inlineStr">
        <is>
          <t>이전 완료</t>
        </is>
      </c>
      <c r="D27" s="16" t="inlineStr">
        <is>
          <t>billing API 전체</t>
        </is>
      </c>
      <c r="E27" s="16" t="inlineStr">
        <is>
          <t>/api/billing cards·subscriptions·payments·refund·extend·receipt-email + PG 추상화</t>
        </is>
      </c>
      <c r="F27" s="17" t="inlineStr">
        <is>
          <t>✅</t>
        </is>
      </c>
      <c r="G27" s="16" t="inlineStr"/>
    </row>
    <row r="28">
      <c r="A28" s="19" t="inlineStr">
        <is>
          <t>시설관리자</t>
        </is>
      </c>
      <c r="B28" s="16" t="inlineStr">
        <is>
          <t>결제·구독</t>
        </is>
      </c>
      <c r="C28" s="16" t="inlineStr">
        <is>
          <t>이전 완료</t>
        </is>
      </c>
      <c r="D28" s="16" t="inlineStr">
        <is>
          <t>provider PaymentManagement·Subscriptions UI 골격</t>
        </is>
      </c>
      <c r="E28" s="16" t="inlineStr">
        <is>
          <t>다단계 결제 흐름/카드 입력/구독 카드 UI, 데이터는 mock + localStorage 평문저장</t>
        </is>
      </c>
      <c r="F28" s="17" t="inlineStr">
        <is>
          <t>✅</t>
        </is>
      </c>
      <c r="G28" s="16" t="inlineStr"/>
    </row>
    <row r="29">
      <c r="A29" s="19" t="inlineStr">
        <is>
          <t>시설관리자</t>
        </is>
      </c>
      <c r="B29" s="16" t="inlineStr">
        <is>
          <t>결제·구독</t>
        </is>
      </c>
      <c r="C29" s="16" t="inlineStr">
        <is>
          <t>Phase 1 ✅</t>
        </is>
      </c>
      <c r="D29" s="16" t="inlineStr">
        <is>
          <t>P7 — BillingService 신규</t>
        </is>
      </c>
      <c r="E29" s="16" t="inlineStr">
        <is>
          <t>provider /api/billing 래퍼 7종 메서드</t>
        </is>
      </c>
      <c r="F29" s="17" t="inlineStr">
        <is>
          <t>✅</t>
        </is>
      </c>
      <c r="G29" s="16" t="inlineStr"/>
    </row>
    <row r="30">
      <c r="A30" s="19" t="inlineStr">
        <is>
          <t>시설관리자</t>
        </is>
      </c>
      <c r="B30" s="16" t="inlineStr">
        <is>
          <t>결제·구독</t>
        </is>
      </c>
      <c r="C30" s="16" t="inlineStr">
        <is>
          <t>Phase 1 ✅</t>
        </is>
      </c>
      <c r="D30" s="16" t="inlineStr">
        <is>
          <t>P7 — 카드 평문저장 제거 (C6)</t>
        </is>
      </c>
      <c r="E30" s="16" t="inlineStr">
        <is>
          <t>localStorage pathwave_payment_card + audit 큐 완전 제거, brand+last4만 전송</t>
        </is>
      </c>
      <c r="F30" s="17" t="inlineStr">
        <is>
          <t>✅</t>
        </is>
      </c>
      <c r="G30" s="16" t="inlineStr">
        <is>
          <t>PCI 준수</t>
        </is>
      </c>
    </row>
    <row r="31">
      <c r="A31" s="19" t="inlineStr">
        <is>
          <t>시설관리자</t>
        </is>
      </c>
      <c r="B31" s="16" t="inlineStr">
        <is>
          <t>결제·구독</t>
        </is>
      </c>
      <c r="C31" s="16" t="inlineStr">
        <is>
          <t>Phase 1 ✅</t>
        </is>
      </c>
      <c r="D31" s="16" t="inlineStr">
        <is>
          <t>P7 — 결제 흐름 통합</t>
        </is>
      </c>
      <c r="E31" s="16" t="inlineStr">
        <is>
          <t>PaymentManagement·Subscriptions·ServiceRequest 동일 백엔드로 통합 + 호텔H 기본값 제거</t>
        </is>
      </c>
      <c r="F31" s="17" t="inlineStr">
        <is>
          <t>✅</t>
        </is>
      </c>
      <c r="G31" s="16" t="inlineStr"/>
    </row>
    <row r="32">
      <c r="A32" s="20" t="inlineStr">
        <is>
          <t>슈퍼어드민</t>
        </is>
      </c>
      <c r="B32" s="16" t="inlineStr">
        <is>
          <t>결제·구독</t>
        </is>
      </c>
      <c r="C32" s="16" t="inlineStr">
        <is>
          <t>이전 완료</t>
        </is>
      </c>
      <c r="D32" s="16" t="inlineStr">
        <is>
          <t>admin Payments + Subscriptions + 환불</t>
        </is>
      </c>
      <c r="E32" s="16" t="inlineStr">
        <is>
          <t>adminApi.listPayments/listSubscriptions/refundPayment 실연동 + 환불 모달</t>
        </is>
      </c>
      <c r="F32" s="17" t="inlineStr">
        <is>
          <t>✅</t>
        </is>
      </c>
      <c r="G32" s="16" t="inlineStr">
        <is>
          <t>이미 정합</t>
        </is>
      </c>
    </row>
    <row r="33">
      <c r="A33" s="14" t="inlineStr">
        <is>
          <t>공통-BE</t>
        </is>
      </c>
      <c r="B33" s="16" t="inlineStr">
        <is>
          <t>결제·구독</t>
        </is>
      </c>
      <c r="C33" s="16" t="inlineStr">
        <is>
          <t>남은</t>
        </is>
      </c>
      <c r="D33" s="16" t="inlineStr">
        <is>
          <t>토스 키 활성화</t>
        </is>
      </c>
      <c r="E33" s="16" t="inlineStr">
        <is>
          <t>토스페이먼츠 심사 통과 후 PG_PROVIDER=toss + 실 결제 검증</t>
        </is>
      </c>
      <c r="F33" s="21" t="inlineStr">
        <is>
          <t>⬜</t>
        </is>
      </c>
      <c r="G33" s="16" t="inlineStr">
        <is>
          <t>외부 1~2주</t>
        </is>
      </c>
    </row>
    <row r="34">
      <c r="A34" s="14" t="inlineStr">
        <is>
          <t>공통-BE</t>
        </is>
      </c>
      <c r="B34" s="15" t="inlineStr">
        <is>
          <t>쿠폰</t>
        </is>
      </c>
      <c r="C34" s="16" t="inlineStr">
        <is>
          <t>이전 완료</t>
        </is>
      </c>
      <c r="D34" s="16" t="inlineStr">
        <is>
          <t>쿠폰 발행/사용/만료 API</t>
        </is>
      </c>
      <c r="E34" s="16" t="inlineStr">
        <is>
          <t>/api/coupons issue·use·expire + 정책 + 통계</t>
        </is>
      </c>
      <c r="F34" s="17" t="inlineStr">
        <is>
          <t>✅</t>
        </is>
      </c>
      <c r="G34" s="16" t="inlineStr"/>
    </row>
    <row r="35">
      <c r="A35" s="18" t="inlineStr">
        <is>
          <t>사용자</t>
        </is>
      </c>
      <c r="B35" s="16" t="inlineStr">
        <is>
          <t>쿠폰</t>
        </is>
      </c>
      <c r="C35" s="16" t="inlineStr">
        <is>
          <t>이전 완료</t>
        </is>
      </c>
      <c r="D35" s="16" t="inlineStr">
        <is>
          <t>mobile 쿠폰함</t>
        </is>
      </c>
      <c r="E35" s="16" t="inlineStr">
        <is>
          <t>coupons_screen (active/used/expired 탭) + 사용 다이얼로그</t>
        </is>
      </c>
      <c r="F35" s="17" t="inlineStr">
        <is>
          <t>✅</t>
        </is>
      </c>
      <c r="G35" s="16" t="inlineStr">
        <is>
          <t>쿠폰 사용 silent error 잔존</t>
        </is>
      </c>
    </row>
    <row r="36">
      <c r="A36" s="18" t="inlineStr">
        <is>
          <t>사용자</t>
        </is>
      </c>
      <c r="B36" s="16" t="inlineStr">
        <is>
          <t>쿠폰</t>
        </is>
      </c>
      <c r="C36" s="16" t="inlineStr">
        <is>
          <t>Phase 1 — 남은</t>
        </is>
      </c>
      <c r="D36" s="16" t="inlineStr">
        <is>
          <t>P9 — mobile silent error 수정</t>
        </is>
      </c>
      <c r="E36" s="16" t="inlineStr">
        <is>
          <t>사용 실패 시 사용자 피드백 + 목록 갱신</t>
        </is>
      </c>
      <c r="F36" s="21" t="inlineStr">
        <is>
          <t>⬜</t>
        </is>
      </c>
      <c r="G36" s="16" t="inlineStr"/>
    </row>
    <row r="37">
      <c r="A37" s="18" t="inlineStr">
        <is>
          <t>사용자</t>
        </is>
      </c>
      <c r="B37" s="16" t="inlineStr">
        <is>
          <t>쿠폰</t>
        </is>
      </c>
      <c r="C37" s="16" t="inlineStr">
        <is>
          <t>Phase 1 — 남은</t>
        </is>
      </c>
      <c r="D37" s="16" t="inlineStr">
        <is>
          <t>P22 — 회원 QR (사용자 측)</t>
        </is>
      </c>
      <c r="E37" s="16" t="inlineStr">
        <is>
          <t>mobile 마이페이지 회원 QR (URL 토큰)</t>
        </is>
      </c>
      <c r="F37" s="21" t="inlineStr">
        <is>
          <t>⬜</t>
        </is>
      </c>
      <c r="G37" s="16" t="inlineStr"/>
    </row>
    <row r="38">
      <c r="A38" s="19" t="inlineStr">
        <is>
          <t>시설관리자</t>
        </is>
      </c>
      <c r="B38" s="16" t="inlineStr">
        <is>
          <t>쿠폰</t>
        </is>
      </c>
      <c r="C38" s="16" t="inlineStr">
        <is>
          <t>이전 완료</t>
        </is>
      </c>
      <c r="D38" s="16" t="inlineStr">
        <is>
          <t>provider Coupons·CouponForm UI</t>
        </is>
      </c>
      <c r="E38" s="16" t="inlineStr">
        <is>
          <t>쿠폰 목록·생성·통계 UI 완성, 데이터는 mock</t>
        </is>
      </c>
      <c r="F38" s="17" t="inlineStr">
        <is>
          <t>✅</t>
        </is>
      </c>
      <c r="G38" s="16" t="inlineStr"/>
    </row>
    <row r="39">
      <c r="A39" s="19" t="inlineStr">
        <is>
          <t>시설관리자</t>
        </is>
      </c>
      <c r="B39" s="16" t="inlineStr">
        <is>
          <t>쿠폰</t>
        </is>
      </c>
      <c r="C39" s="16" t="inlineStr">
        <is>
          <t>Phase 1 — 남은</t>
        </is>
      </c>
      <c r="D39" s="16" t="inlineStr">
        <is>
          <t>P9 — provider Coupons 실연동</t>
        </is>
      </c>
      <c r="E39" s="16" t="inlineStr">
        <is>
          <t>mock → /api/coupons 실연동, 발행/회수 정상 흐름</t>
        </is>
      </c>
      <c r="F39" s="21" t="inlineStr">
        <is>
          <t>⬜</t>
        </is>
      </c>
      <c r="G39" s="16" t="inlineStr"/>
    </row>
    <row r="40">
      <c r="A40" s="19" t="inlineStr">
        <is>
          <t>시설관리자</t>
        </is>
      </c>
      <c r="B40" s="16" t="inlineStr">
        <is>
          <t>쿠폰</t>
        </is>
      </c>
      <c r="C40" s="16" t="inlineStr">
        <is>
          <t>Phase 1 — 남은</t>
        </is>
      </c>
      <c r="D40" s="16" t="inlineStr">
        <is>
          <t>P22 — provider 스캔/적립</t>
        </is>
      </c>
      <c r="E40" s="16" t="inlineStr">
        <is>
          <t>회원 QR 스캔/코드입력 → 적립·사용</t>
        </is>
      </c>
      <c r="F40" s="21" t="inlineStr">
        <is>
          <t>⬜</t>
        </is>
      </c>
      <c r="G40" s="16" t="inlineStr"/>
    </row>
    <row r="41">
      <c r="A41" s="20" t="inlineStr">
        <is>
          <t>슈퍼어드민</t>
        </is>
      </c>
      <c r="B41" s="16" t="inlineStr">
        <is>
          <t>쿠폰</t>
        </is>
      </c>
      <c r="C41" s="16" t="inlineStr">
        <is>
          <t>이전 완료</t>
        </is>
      </c>
      <c r="D41" s="16" t="inlineStr">
        <is>
          <t>admin 쿠폰 통계</t>
        </is>
      </c>
      <c r="E41" s="16" t="inlineStr">
        <is>
          <t>admin coupon stats API + UI</t>
        </is>
      </c>
      <c r="F41" s="17" t="inlineStr">
        <is>
          <t>✅</t>
        </is>
      </c>
      <c r="G41" s="16" t="inlineStr">
        <is>
          <t>CouponStats placeholder 일부 → P11</t>
        </is>
      </c>
    </row>
    <row r="42">
      <c r="A42" s="14" t="inlineStr">
        <is>
          <t>공통-BE</t>
        </is>
      </c>
      <c r="B42" s="15" t="inlineStr">
        <is>
          <t>스탬프</t>
        </is>
      </c>
      <c r="C42" s="16" t="inlineStr">
        <is>
          <t>이전 완료</t>
        </is>
      </c>
      <c r="D42" s="16" t="inlineStr">
        <is>
          <t>스탬프 적립/리워드 API</t>
        </is>
      </c>
      <c r="E42" s="16" t="inlineStr">
        <is>
          <t>/api/stamps accrue/list + 시설별 정책 + BLE 자동 적립</t>
        </is>
      </c>
      <c r="F42" s="17" t="inlineStr">
        <is>
          <t>✅</t>
        </is>
      </c>
      <c r="G42" s="16" t="inlineStr"/>
    </row>
    <row r="43">
      <c r="A43" s="18" t="inlineStr">
        <is>
          <t>사용자</t>
        </is>
      </c>
      <c r="B43" s="16" t="inlineStr">
        <is>
          <t>스탬프</t>
        </is>
      </c>
      <c r="C43" s="16" t="inlineStr">
        <is>
          <t>이전 완료</t>
        </is>
      </c>
      <c r="D43" s="16" t="inlineStr">
        <is>
          <t>mobile 스탬프 화면</t>
        </is>
      </c>
      <c r="E43" s="16" t="inlineStr">
        <is>
          <t>stamps_screen — 시설별 카드/진행률/보상</t>
        </is>
      </c>
      <c r="F43" s="17" t="inlineStr">
        <is>
          <t>✅</t>
        </is>
      </c>
      <c r="G43" s="16" t="inlineStr"/>
    </row>
    <row r="44">
      <c r="A44" s="19" t="inlineStr">
        <is>
          <t>시설관리자</t>
        </is>
      </c>
      <c r="B44" s="16" t="inlineStr">
        <is>
          <t>스탬프</t>
        </is>
      </c>
      <c r="C44" s="16" t="inlineStr">
        <is>
          <t>이전 완료</t>
        </is>
      </c>
      <c r="D44" s="16" t="inlineStr">
        <is>
          <t>provider Stamps·StampForm UI</t>
        </is>
      </c>
      <c r="E44" s="16" t="inlineStr">
        <is>
          <t>정책·통계 UI 완성, 데이터는 mock</t>
        </is>
      </c>
      <c r="F44" s="17" t="inlineStr">
        <is>
          <t>✅</t>
        </is>
      </c>
      <c r="G44" s="16" t="inlineStr"/>
    </row>
    <row r="45">
      <c r="A45" s="19" t="inlineStr">
        <is>
          <t>시설관리자</t>
        </is>
      </c>
      <c r="B45" s="16" t="inlineStr">
        <is>
          <t>스탬프</t>
        </is>
      </c>
      <c r="C45" s="16" t="inlineStr">
        <is>
          <t>Phase 1 — 남은</t>
        </is>
      </c>
      <c r="D45" s="16" t="inlineStr">
        <is>
          <t>P9 — provider Stamps 실연동</t>
        </is>
      </c>
      <c r="E45" s="16" t="inlineStr">
        <is>
          <t>mock → /api/stamps 실연동</t>
        </is>
      </c>
      <c r="F45" s="21" t="inlineStr">
        <is>
          <t>⬜</t>
        </is>
      </c>
      <c r="G45" s="16" t="inlineStr"/>
    </row>
    <row r="46">
      <c r="A46" s="19" t="inlineStr">
        <is>
          <t>시설관리자</t>
        </is>
      </c>
      <c r="B46" s="16" t="inlineStr">
        <is>
          <t>스탬프</t>
        </is>
      </c>
      <c r="C46" s="16" t="inlineStr">
        <is>
          <t>Phase 1 — 남은</t>
        </is>
      </c>
      <c r="D46" s="16" t="inlineStr">
        <is>
          <t>P22 — 수동 적립(staff)</t>
        </is>
      </c>
      <c r="E46" s="16" t="inlineStr">
        <is>
          <t>회원 QR 스캔 → 스탬프 수동 적립 (auto/staff 모드)</t>
        </is>
      </c>
      <c r="F46" s="21" t="inlineStr">
        <is>
          <t>⬜</t>
        </is>
      </c>
      <c r="G46" s="16" t="inlineStr"/>
    </row>
    <row r="47">
      <c r="A47" s="14" t="inlineStr">
        <is>
          <t>공통-BE</t>
        </is>
      </c>
      <c r="B47" s="15" t="inlineStr">
        <is>
          <t>채팅</t>
        </is>
      </c>
      <c r="C47" s="16" t="inlineStr">
        <is>
          <t>이전 완료</t>
        </is>
      </c>
      <c r="D47" s="16" t="inlineStr">
        <is>
          <t>chat 전체 API</t>
        </is>
      </c>
      <c r="E47" s="16" t="inlineStr">
        <is>
          <t>/api/chat rooms·messages·SSE 스트림·read + chat_blocks + is_blocked 가드</t>
        </is>
      </c>
      <c r="F47" s="17" t="inlineStr">
        <is>
          <t>✅</t>
        </is>
      </c>
      <c r="G47" s="16" t="inlineStr"/>
    </row>
    <row r="48">
      <c r="A48" s="14" t="inlineStr">
        <is>
          <t>공통-BE</t>
        </is>
      </c>
      <c r="B48" s="16" t="inlineStr">
        <is>
          <t>채팅</t>
        </is>
      </c>
      <c r="C48" s="16" t="inlineStr">
        <is>
          <t>이전 완료</t>
        </is>
      </c>
      <c r="D48" s="16" t="inlineStr">
        <is>
          <t>abuse_reports + chat_blocks</t>
        </is>
      </c>
      <c r="E48" s="16" t="inlineStr">
        <is>
          <t>/api/abuse-reports + /api/admin/abuse-reports + /api/blocks</t>
        </is>
      </c>
      <c r="F48" s="17" t="inlineStr">
        <is>
          <t>✅</t>
        </is>
      </c>
      <c r="G48" s="16" t="inlineStr"/>
    </row>
    <row r="49">
      <c r="A49" s="14" t="inlineStr">
        <is>
          <t>공통-BE</t>
        </is>
      </c>
      <c r="B49" s="16" t="inlineStr">
        <is>
          <t>채팅</t>
        </is>
      </c>
      <c r="C49" s="16" t="inlineStr">
        <is>
          <t>Phase 1 ✅</t>
        </is>
      </c>
      <c r="D49" s="16" t="inlineStr">
        <is>
          <t>P8 — /api/chat/reports 신규</t>
        </is>
      </c>
      <c r="E49" s="16" t="inlineStr">
        <is>
          <t>abuse_reports → ChatMonitor용 신고 큐 변환, super_admin 가드</t>
        </is>
      </c>
      <c r="F49" s="17" t="inlineStr">
        <is>
          <t>✅</t>
        </is>
      </c>
      <c r="G49" s="16" t="inlineStr">
        <is>
          <t>⚠ app.py 재시작 후 활성</t>
        </is>
      </c>
    </row>
    <row r="50">
      <c r="A50" s="18" t="inlineStr">
        <is>
          <t>사용자</t>
        </is>
      </c>
      <c r="B50" s="16" t="inlineStr">
        <is>
          <t>채팅</t>
        </is>
      </c>
      <c r="C50" s="16" t="inlineStr">
        <is>
          <t>이전 완료</t>
        </is>
      </c>
      <c r="D50" s="16" t="inlineStr">
        <is>
          <t>mobile 채팅 화면</t>
        </is>
      </c>
      <c r="E50" s="16" t="inlineStr">
        <is>
          <t>chat_list_screen + chat_detail_screen (SSE 실시간) + 신고/차단 + 가이드라인 모달</t>
        </is>
      </c>
      <c r="F50" s="17" t="inlineStr">
        <is>
          <t>✅</t>
        </is>
      </c>
      <c r="G50" s="16" t="inlineStr">
        <is>
          <t>재연결 미지원이었음</t>
        </is>
      </c>
    </row>
    <row r="51">
      <c r="A51" s="18" t="inlineStr">
        <is>
          <t>사용자</t>
        </is>
      </c>
      <c r="B51" s="16" t="inlineStr">
        <is>
          <t>채팅</t>
        </is>
      </c>
      <c r="C51" s="16" t="inlineStr">
        <is>
          <t>Phase 1 ✅</t>
        </is>
      </c>
      <c r="D51" s="16" t="inlineStr">
        <is>
          <t>P8 — mobile SSE 재연결</t>
        </is>
      </c>
      <c r="E51" s="16" t="inlineStr">
        <is>
          <t>StreamController 기반, 지수 backoff(1→30s), ?after_id= 누락 보충</t>
        </is>
      </c>
      <c r="F51" s="17" t="inlineStr">
        <is>
          <t>✅</t>
        </is>
      </c>
      <c r="G51" s="16" t="inlineStr"/>
    </row>
    <row r="52">
      <c r="A52" s="18" t="inlineStr">
        <is>
          <t>사용자</t>
        </is>
      </c>
      <c r="B52" s="16" t="inlineStr">
        <is>
          <t>채팅</t>
        </is>
      </c>
      <c r="C52" s="16" t="inlineStr">
        <is>
          <t>남은 — P8b</t>
        </is>
      </c>
      <c r="D52" s="16" t="inlineStr">
        <is>
          <t>뷰어별 번역 표시</t>
        </is>
      </c>
      <c r="E52" s="16" t="inlineStr">
        <is>
          <t>list_messages·SSE 응답에 ?lang= 기준 번역 포함 → mobile UI 노출</t>
        </is>
      </c>
      <c r="F52" s="21" t="inlineStr">
        <is>
          <t>⬜</t>
        </is>
      </c>
      <c r="G52" s="16" t="inlineStr">
        <is>
          <t>USP 기능</t>
        </is>
      </c>
    </row>
    <row r="53">
      <c r="A53" s="19" t="inlineStr">
        <is>
          <t>시설관리자</t>
        </is>
      </c>
      <c r="B53" s="16" t="inlineStr">
        <is>
          <t>채팅</t>
        </is>
      </c>
      <c r="C53" s="16" t="inlineStr">
        <is>
          <t>이전 완료</t>
        </is>
      </c>
      <c r="D53" s="16" t="inlineStr">
        <is>
          <t>provider CustomerChat UI 골격</t>
        </is>
      </c>
      <c r="E53" s="16" t="inlineStr">
        <is>
          <t>대화창 UI 완성, 데이터는 DUMMY_CHATS 7개 더미</t>
        </is>
      </c>
      <c r="F53" s="17" t="inlineStr">
        <is>
          <t>✅</t>
        </is>
      </c>
      <c r="G53" s="16" t="inlineStr"/>
    </row>
    <row r="54">
      <c r="A54" s="19" t="inlineStr">
        <is>
          <t>시설관리자</t>
        </is>
      </c>
      <c r="B54" s="16" t="inlineStr">
        <is>
          <t>채팅</t>
        </is>
      </c>
      <c r="C54" s="16" t="inlineStr">
        <is>
          <t>이전 완료</t>
        </is>
      </c>
      <c r="D54" s="16" t="inlineStr">
        <is>
          <t>provider ChatService 메서드</t>
        </is>
      </c>
      <c r="E54" s="16" t="inlineStr">
        <is>
          <t>openRoom/listRooms/listMessages/sendMessage/markRead/subscribe(SSE) 다 작성됨</t>
        </is>
      </c>
      <c r="F54" s="17" t="inlineStr">
        <is>
          <t>✅</t>
        </is>
      </c>
      <c r="G54" s="16" t="inlineStr">
        <is>
          <t>호출만 안 되고 있었음</t>
        </is>
      </c>
    </row>
    <row r="55">
      <c r="A55" s="19" t="inlineStr">
        <is>
          <t>시설관리자</t>
        </is>
      </c>
      <c r="B55" s="16" t="inlineStr">
        <is>
          <t>채팅</t>
        </is>
      </c>
      <c r="C55" s="16" t="inlineStr">
        <is>
          <t>Phase 1 ✅</t>
        </is>
      </c>
      <c r="D55" s="16" t="inlineStr">
        <is>
          <t>P8 — provider CustomerChat 실연동</t>
        </is>
      </c>
      <c r="E55" s="16" t="inlineStr">
        <is>
          <t>DUMMY 제거 → ChatService 5종 호출 + 30초 폴링 + 낙관적 전송 + SSE 정리</t>
        </is>
      </c>
      <c r="F55" s="17" t="inlineStr">
        <is>
          <t>✅</t>
        </is>
      </c>
      <c r="G55" s="16" t="inlineStr"/>
    </row>
    <row r="56">
      <c r="A56" s="19" t="inlineStr">
        <is>
          <t>시설관리자</t>
        </is>
      </c>
      <c r="B56" s="16" t="inlineStr">
        <is>
          <t>채팅</t>
        </is>
      </c>
      <c r="C56" s="16" t="inlineStr">
        <is>
          <t>남은 — P8b</t>
        </is>
      </c>
      <c r="D56" s="16" t="inlineStr">
        <is>
          <t>provider 번역 표시</t>
        </is>
      </c>
      <c r="E56" s="16" t="inlineStr">
        <is>
          <t>CustomerChat translation 필드 실데이터 노출</t>
        </is>
      </c>
      <c r="F56" s="21" t="inlineStr">
        <is>
          <t>⬜</t>
        </is>
      </c>
      <c r="G56" s="16" t="inlineStr"/>
    </row>
    <row r="57">
      <c r="A57" s="20" t="inlineStr">
        <is>
          <t>슈퍼어드민</t>
        </is>
      </c>
      <c r="B57" s="16" t="inlineStr">
        <is>
          <t>채팅</t>
        </is>
      </c>
      <c r="C57" s="16" t="inlineStr">
        <is>
          <t>이전 완료</t>
        </is>
      </c>
      <c r="D57" s="16" t="inlineStr">
        <is>
          <t>admin abuse + chat_blocks 처리</t>
        </is>
      </c>
      <c r="E57" s="16" t="inlineStr">
        <is>
          <t>admin abuse_reports CRUD + chat_blocks 관리</t>
        </is>
      </c>
      <c r="F57" s="17" t="inlineStr">
        <is>
          <t>✅</t>
        </is>
      </c>
      <c r="G57" s="16" t="inlineStr">
        <is>
          <t>PR #142</t>
        </is>
      </c>
    </row>
    <row r="58">
      <c r="A58" s="20" t="inlineStr">
        <is>
          <t>슈퍼어드민</t>
        </is>
      </c>
      <c r="B58" s="16" t="inlineStr">
        <is>
          <t>채팅</t>
        </is>
      </c>
      <c r="C58" s="16" t="inlineStr">
        <is>
          <t>이전 완료</t>
        </is>
      </c>
      <c r="D58" s="16" t="inlineStr">
        <is>
          <t>admin ChatMonitor UI</t>
        </is>
      </c>
      <c r="E58" s="16" t="inlineStr">
        <is>
          <t>신고 큐 테이블 UI 완성, /api/chat/reports 엔드포인트만 없었음</t>
        </is>
      </c>
      <c r="F58" s="17" t="inlineStr">
        <is>
          <t>✅</t>
        </is>
      </c>
      <c r="G58" s="16" t="inlineStr"/>
    </row>
    <row r="59">
      <c r="A59" s="14" t="inlineStr">
        <is>
          <t>공통-BE</t>
        </is>
      </c>
      <c r="B59" s="16" t="inlineStr">
        <is>
          <t>채팅</t>
        </is>
      </c>
      <c r="C59" s="16" t="inlineStr">
        <is>
          <t>남은 — P8b</t>
        </is>
      </c>
      <c r="D59" s="16" t="inlineStr">
        <is>
          <t>번역 캐시 스키마</t>
        </is>
      </c>
      <c r="E59" s="16" t="inlineStr">
        <is>
          <t>chat_message_translations 캐시 테이블 + translator.py 연결</t>
        </is>
      </c>
      <c r="F59" s="21" t="inlineStr">
        <is>
          <t>⬜</t>
        </is>
      </c>
      <c r="G59" s="16" t="inlineStr">
        <is>
          <t>DeepL/Google Translate 키 후</t>
        </is>
      </c>
    </row>
    <row r="60">
      <c r="A60" s="14" t="inlineStr">
        <is>
          <t>공통-BE</t>
        </is>
      </c>
      <c r="B60" s="15" t="inlineStr">
        <is>
          <t>알림</t>
        </is>
      </c>
      <c r="C60" s="16" t="inlineStr">
        <is>
          <t>이전 완료</t>
        </is>
      </c>
      <c r="D60" s="16" t="inlineStr">
        <is>
          <t>알림 API + 카테고리</t>
        </is>
      </c>
      <c r="E60" s="16" t="inlineStr">
        <is>
          <t>/api/notifications inbox·announcements·read + notification_preferences</t>
        </is>
      </c>
      <c r="F60" s="17" t="inlineStr">
        <is>
          <t>✅</t>
        </is>
      </c>
      <c r="G60" s="16" t="inlineStr"/>
    </row>
    <row r="61">
      <c r="A61" s="14" t="inlineStr">
        <is>
          <t>공통-BE</t>
        </is>
      </c>
      <c r="B61" s="16" t="inlineStr">
        <is>
          <t>알림</t>
        </is>
      </c>
      <c r="C61" s="16" t="inlineStr">
        <is>
          <t>이전 완료</t>
        </is>
      </c>
      <c r="D61" s="16" t="inlineStr">
        <is>
          <t>iOS APNs 직접 (PR #50)</t>
        </is>
      </c>
      <c r="E61" s="16" t="inlineStr">
        <is>
          <t>APNs HTTP/2 + JWT ES256 — Apple 인증서/키만 필요</t>
        </is>
      </c>
      <c r="F61" s="17" t="inlineStr">
        <is>
          <t>✅</t>
        </is>
      </c>
      <c r="G61" s="16" t="inlineStr">
        <is>
          <t>자체구축 — Firebase 미사용</t>
        </is>
      </c>
    </row>
    <row r="62">
      <c r="A62" s="14" t="inlineStr">
        <is>
          <t>공통-BE</t>
        </is>
      </c>
      <c r="B62" s="16" t="inlineStr">
        <is>
          <t>알림</t>
        </is>
      </c>
      <c r="C62" s="16" t="inlineStr">
        <is>
          <t>이전 완료</t>
        </is>
      </c>
      <c r="D62" s="16" t="inlineStr">
        <is>
          <t>Android 푸시</t>
        </is>
      </c>
      <c r="E62" s="16" t="inlineStr">
        <is>
          <t>FCM 통합 (PR #44) — Google Play Services 의존</t>
        </is>
      </c>
      <c r="F62" s="17" t="inlineStr">
        <is>
          <t>✅</t>
        </is>
      </c>
      <c r="G62" s="16" t="inlineStr">
        <is>
          <t>⚠ 현실적으로 Android 자체구축 불가, FCM 무료 무제한이라 그대로 사용 권장</t>
        </is>
      </c>
    </row>
    <row r="63">
      <c r="A63" s="18" t="inlineStr">
        <is>
          <t>사용자</t>
        </is>
      </c>
      <c r="B63" s="16" t="inlineStr">
        <is>
          <t>알림</t>
        </is>
      </c>
      <c r="C63" s="16" t="inlineStr">
        <is>
          <t>이전 완료</t>
        </is>
      </c>
      <c r="D63" s="16" t="inlineStr">
        <is>
          <t>mobile 알림 화면 + 권한 동의</t>
        </is>
      </c>
      <c r="E63" s="16" t="inlineStr">
        <is>
          <t>notifications_screen (인박스/공지 탭) + notification_permission_dialog</t>
        </is>
      </c>
      <c r="F63" s="17" t="inlineStr">
        <is>
          <t>✅</t>
        </is>
      </c>
      <c r="G63" s="16" t="inlineStr">
        <is>
          <t>라우팅 보강 필요</t>
        </is>
      </c>
    </row>
    <row r="64">
      <c r="A64" s="18" t="inlineStr">
        <is>
          <t>사용자</t>
        </is>
      </c>
      <c r="B64" s="16" t="inlineStr">
        <is>
          <t>알림</t>
        </is>
      </c>
      <c r="C64" s="16" t="inlineStr">
        <is>
          <t>Phase 1 — 남은</t>
        </is>
      </c>
      <c r="D64" s="16" t="inlineStr">
        <is>
          <t>P10 — mobile 알림 라우팅</t>
        </is>
      </c>
      <c r="E64" s="16" t="inlineStr">
        <is>
          <t>알림 종류별 화면 이동 (coupon→쿠폰함, chat→채팅)</t>
        </is>
      </c>
      <c r="F64" s="21" t="inlineStr">
        <is>
          <t>⬜</t>
        </is>
      </c>
      <c r="G64" s="16" t="inlineStr"/>
    </row>
    <row r="65">
      <c r="A65" s="19" t="inlineStr">
        <is>
          <t>시설관리자</t>
        </is>
      </c>
      <c r="B65" s="16" t="inlineStr">
        <is>
          <t>알림</t>
        </is>
      </c>
      <c r="C65" s="16" t="inlineStr">
        <is>
          <t>이전 완료</t>
        </is>
      </c>
      <c r="D65" s="16" t="inlineStr">
        <is>
          <t>provider Notifications UI</t>
        </is>
      </c>
      <c r="E65" s="16" t="inlineStr">
        <is>
          <t>받은 알림 + 시스템 공지 UI 완성, 데이터는 mockInbox 14건</t>
        </is>
      </c>
      <c r="F65" s="17" t="inlineStr">
        <is>
          <t>✅</t>
        </is>
      </c>
      <c r="G65" s="16" t="inlineStr"/>
    </row>
    <row r="66">
      <c r="A66" s="19" t="inlineStr">
        <is>
          <t>시설관리자</t>
        </is>
      </c>
      <c r="B66" s="16" t="inlineStr">
        <is>
          <t>알림</t>
        </is>
      </c>
      <c r="C66" s="16" t="inlineStr">
        <is>
          <t>Phase 1 — 남은</t>
        </is>
      </c>
      <c r="D66" s="16" t="inlineStr">
        <is>
          <t>P10 — provider Notifications 실연동</t>
        </is>
      </c>
      <c r="E66" s="16" t="inlineStr">
        <is>
          <t>mockInbox 제거 → /api/notifications 실연동</t>
        </is>
      </c>
      <c r="F66" s="21" t="inlineStr">
        <is>
          <t>⬜</t>
        </is>
      </c>
      <c r="G66" s="16" t="inlineStr"/>
    </row>
    <row r="67">
      <c r="A67" s="20" t="inlineStr">
        <is>
          <t>슈퍼어드민</t>
        </is>
      </c>
      <c r="B67" s="16" t="inlineStr">
        <is>
          <t>알림</t>
        </is>
      </c>
      <c r="C67" s="16" t="inlineStr">
        <is>
          <t>이전 완료</t>
        </is>
      </c>
      <c r="D67" s="16" t="inlineStr">
        <is>
          <t>admin 공지 CRUD + 발송</t>
        </is>
      </c>
      <c r="E67" s="16" t="inlineStr">
        <is>
          <t>admin Announcements CRUD + 실 푸시 발송 통합</t>
        </is>
      </c>
      <c r="F67" s="17" t="inlineStr">
        <is>
          <t>✅</t>
        </is>
      </c>
      <c r="G67" s="16" t="inlineStr"/>
    </row>
    <row r="68">
      <c r="A68" s="14" t="inlineStr">
        <is>
          <t>공통-BE</t>
        </is>
      </c>
      <c r="B68" s="15" t="inlineStr">
        <is>
          <t>WiFi (1회 연결)</t>
        </is>
      </c>
      <c r="C68" s="16" t="inlineStr">
        <is>
          <t>이전 완료</t>
        </is>
      </c>
      <c r="D68" s="16" t="inlineStr">
        <is>
          <t>wifi_profiles + handshake</t>
        </is>
      </c>
      <c r="E68" s="16" t="inlineStr">
        <is>
          <t>/api/beacon/wifi handshake (LIMIT 1) + wifi_profiles 기본</t>
        </is>
      </c>
      <c r="F68" s="17" t="inlineStr">
        <is>
          <t>✅</t>
        </is>
      </c>
      <c r="G68" s="16" t="inlineStr">
        <is>
          <t>로밍은 LIMIT 1 → 묶음 반환으로 확장 필요</t>
        </is>
      </c>
    </row>
    <row r="69">
      <c r="A69" s="18" t="inlineStr">
        <is>
          <t>사용자</t>
        </is>
      </c>
      <c r="B69" s="16" t="inlineStr">
        <is>
          <t>WiFi (1회 연결)</t>
        </is>
      </c>
      <c r="C69" s="16" t="inlineStr">
        <is>
          <t>이전 완료</t>
        </is>
      </c>
      <c r="D69" s="16" t="inlineStr">
        <is>
          <t>mobile native plugin</t>
        </is>
      </c>
      <c r="E69" s="16" t="inlineStr">
        <is>
          <t>iOS NEHotspotConfiguration + Android WifiNetworkSuggestion (자동 가입)</t>
        </is>
      </c>
      <c r="F69" s="17" t="inlineStr">
        <is>
          <t>✅</t>
        </is>
      </c>
      <c r="G69" s="16" t="inlineStr">
        <is>
          <t>1회 연결만</t>
        </is>
      </c>
    </row>
    <row r="70">
      <c r="A70" s="18" t="inlineStr">
        <is>
          <t>사용자</t>
        </is>
      </c>
      <c r="B70" s="16" t="inlineStr">
        <is>
          <t>WiFi (1회 연결)</t>
        </is>
      </c>
      <c r="C70" s="16" t="inlineStr">
        <is>
          <t>이전 완료</t>
        </is>
      </c>
      <c r="D70" s="16" t="inlineStr">
        <is>
          <t>mobile WifiConnectScreen</t>
        </is>
      </c>
      <c r="E70" s="16" t="inlineStr">
        <is>
          <t>BLE 핸드셰이크 → WiFi 정보 전달 + OS 자동 가입 트리거</t>
        </is>
      </c>
      <c r="F70" s="17" t="inlineStr">
        <is>
          <t>✅</t>
        </is>
      </c>
      <c r="G70" s="16" t="inlineStr"/>
    </row>
    <row r="71">
      <c r="A71" s="19" t="inlineStr">
        <is>
          <t>시설관리자</t>
        </is>
      </c>
      <c r="B71" s="16" t="inlineStr">
        <is>
          <t>WiFi (1회 연결)</t>
        </is>
      </c>
      <c r="C71" s="16" t="inlineStr">
        <is>
          <t>이전 완료</t>
        </is>
      </c>
      <c r="D71" s="16" t="inlineStr">
        <is>
          <t>provider WifiSettings UI</t>
        </is>
      </c>
      <c r="E71" s="16" t="inlineStr">
        <is>
          <t>WiFi 등록·수정·비활성 UI 완성, 가짜 OCR 자동입력 있었음</t>
        </is>
      </c>
      <c r="F71" s="17" t="inlineStr">
        <is>
          <t>✅</t>
        </is>
      </c>
      <c r="G71" s="16" t="inlineStr">
        <is>
          <t>OCR 제거됨</t>
        </is>
      </c>
    </row>
    <row r="72">
      <c r="A72" s="19" t="inlineStr">
        <is>
          <t>시설관리자</t>
        </is>
      </c>
      <c r="B72" s="16" t="inlineStr">
        <is>
          <t>WiFi (1회 연결)</t>
        </is>
      </c>
      <c r="C72" s="16" t="inlineStr">
        <is>
          <t>Phase 1 ✅</t>
        </is>
      </c>
      <c r="D72" s="16" t="inlineStr">
        <is>
          <t>P6 — OCR 허위 제거</t>
        </is>
      </c>
      <c r="E72" s="16" t="inlineStr">
        <is>
          <t>runOcrMock 삭제 → 정직한 수동입력 UI, 사진은 참고 첨부로 재정의</t>
        </is>
      </c>
      <c r="F72" s="17" t="inlineStr">
        <is>
          <t>✅</t>
        </is>
      </c>
      <c r="G72" s="16" t="inlineStr">
        <is>
          <t>C5 해소</t>
        </is>
      </c>
    </row>
    <row r="73">
      <c r="A73" s="14" t="inlineStr">
        <is>
          <t>공통-BE</t>
        </is>
      </c>
      <c r="B73" s="15" t="inlineStr">
        <is>
          <t>WiFi 로밍</t>
        </is>
      </c>
      <c r="C73" s="16" t="inlineStr">
        <is>
          <t>Phase 1 — 남은</t>
        </is>
      </c>
      <c r="D73" s="16" t="inlineStr">
        <is>
          <t>P14 — 데이터 모델 재설계</t>
        </is>
      </c>
      <c r="E73" s="16" t="inlineStr">
        <is>
          <t>wifi_profiles 확장 + beacon_wifi·units·wifi_access_grant·devices + beacons.role</t>
        </is>
      </c>
      <c r="F73" s="21" t="inlineStr">
        <is>
          <t>⬜</t>
        </is>
      </c>
      <c r="G73" s="16" t="inlineStr">
        <is>
          <t>6/말~7/초</t>
        </is>
      </c>
    </row>
    <row r="74">
      <c r="A74" s="14" t="inlineStr">
        <is>
          <t>공통-BE</t>
        </is>
      </c>
      <c r="B74" s="16" t="inlineStr">
        <is>
          <t>WiFi 로밍</t>
        </is>
      </c>
      <c r="C74" s="16" t="inlineStr">
        <is>
          <t>Phase 1 — 남은</t>
        </is>
      </c>
      <c r="D74" s="16" t="inlineStr">
        <is>
          <t>P15 — handshake 묶음 + BE</t>
        </is>
      </c>
      <c r="E74" s="16" t="inlineStr">
        <is>
          <t>handshake LIMIT 1 제거 → 묶음 반환</t>
        </is>
      </c>
      <c r="F74" s="21" t="inlineStr">
        <is>
          <t>⬜</t>
        </is>
      </c>
      <c r="G74" s="16" t="inlineStr"/>
    </row>
    <row r="75">
      <c r="A75" s="19" t="inlineStr">
        <is>
          <t>시설관리자</t>
        </is>
      </c>
      <c r="B75" s="16" t="inlineStr">
        <is>
          <t>WiFi 로밍</t>
        </is>
      </c>
      <c r="C75" s="16" t="inlineStr">
        <is>
          <t>Phase 1 — 남은</t>
        </is>
      </c>
      <c r="D75" s="16" t="inlineStr">
        <is>
          <t>P15 — provider WifiSettings 실연동 + 비콘 role</t>
        </is>
      </c>
      <c r="E75" s="16" t="inlineStr">
        <is>
          <t>비콘 role(wifi/cashier) UI + WiFi 실연동</t>
        </is>
      </c>
      <c r="F75" s="21" t="inlineStr">
        <is>
          <t>⬜</t>
        </is>
      </c>
      <c r="G75" s="16" t="inlineStr"/>
    </row>
    <row r="76">
      <c r="A76" s="20" t="inlineStr">
        <is>
          <t>슈퍼어드민</t>
        </is>
      </c>
      <c r="B76" s="16" t="inlineStr">
        <is>
          <t>WiFi 로밍</t>
        </is>
      </c>
      <c r="C76" s="16" t="inlineStr">
        <is>
          <t>Phase 1 — 남은</t>
        </is>
      </c>
      <c r="D76" s="16" t="inlineStr">
        <is>
          <t>P15 — admin WiFi 등록화면</t>
        </is>
      </c>
      <c r="E76" s="16" t="inlineStr">
        <is>
          <t>슈퍼어드민용 WiFi 등록 신규 화면</t>
        </is>
      </c>
      <c r="F76" s="21" t="inlineStr">
        <is>
          <t>⬜</t>
        </is>
      </c>
      <c r="G76" s="16" t="inlineStr">
        <is>
          <t>C10 해소</t>
        </is>
      </c>
    </row>
    <row r="77">
      <c r="A77" s="18" t="inlineStr">
        <is>
          <t>사용자</t>
        </is>
      </c>
      <c r="B77" s="16" t="inlineStr">
        <is>
          <t>WiFi 로밍</t>
        </is>
      </c>
      <c r="C77" s="16" t="inlineStr">
        <is>
          <t>Phase 1 — 남은</t>
        </is>
      </c>
      <c r="D77" s="16" t="inlineStr">
        <is>
          <t>P16 — mobile WiFi 클라이언트</t>
        </is>
      </c>
      <c r="E77" s="16" t="inlineStr">
        <is>
          <t>비콘→WiFi 묶음 fetch·캐시 + BSSID 검증 + "WiFi 변경됨" + 손님 자동/승인 + home 진입점</t>
        </is>
      </c>
      <c r="F77" s="21" t="inlineStr">
        <is>
          <t>⬜</t>
        </is>
      </c>
      <c r="G77" s="16" t="inlineStr"/>
    </row>
    <row r="78">
      <c r="A78" s="18" t="inlineStr">
        <is>
          <t>사용자</t>
        </is>
      </c>
      <c r="B78" s="16" t="inlineStr">
        <is>
          <t>WiFi 로밍</t>
        </is>
      </c>
      <c r="C78" s="16" t="inlineStr">
        <is>
          <t>Phase 1 — 남은</t>
        </is>
      </c>
      <c r="D78" s="16" t="inlineStr">
        <is>
          <t>P17 — .mobileconfig 다건</t>
        </is>
      </c>
      <c r="E78" s="16" t="inlineStr">
        <is>
          <t>.mobileconfig 생성·다건 설치 (서명은 Apple 인증서 후)</t>
        </is>
      </c>
      <c r="F78" s="21" t="inlineStr">
        <is>
          <t>⬜</t>
        </is>
      </c>
      <c r="G78" s="16" t="inlineStr"/>
    </row>
    <row r="79">
      <c r="A79" s="14" t="inlineStr">
        <is>
          <t>공통-BE</t>
        </is>
      </c>
      <c r="B79" s="16" t="inlineStr">
        <is>
          <t>WiFi 로밍</t>
        </is>
      </c>
      <c r="C79" s="16" t="inlineStr">
        <is>
          <t>Phase 1 — 남은</t>
        </is>
      </c>
      <c r="D79" s="16" t="inlineStr">
        <is>
          <t>P18 — credential_mode managed</t>
        </is>
      </c>
      <c r="E79" s="16" t="inlineStr">
        <is>
          <t>비번 교체 리마인드 + 인가 손님 자동 전파 + 알림 연동</t>
        </is>
      </c>
      <c r="F79" s="21" t="inlineStr">
        <is>
          <t>⬜</t>
        </is>
      </c>
      <c r="G79" s="16" t="inlineStr">
        <is>
          <t>v1 flag 비공개</t>
        </is>
      </c>
    </row>
    <row r="80">
      <c r="A80" s="20" t="inlineStr">
        <is>
          <t>슈퍼어드민</t>
        </is>
      </c>
      <c r="B80" s="16" t="inlineStr">
        <is>
          <t>WiFi 로밍</t>
        </is>
      </c>
      <c r="C80" s="16" t="inlineStr">
        <is>
          <t>Phase 1 — 남은</t>
        </is>
      </c>
      <c r="D80" s="16" t="inlineStr">
        <is>
          <t>P19 — units/grant 관리</t>
        </is>
      </c>
      <c r="E80" s="16" t="inlineStr">
        <is>
          <t>호실·자리 시간제 권한 관리 UI</t>
        </is>
      </c>
      <c r="F80" s="21" t="inlineStr">
        <is>
          <t>⬜</t>
        </is>
      </c>
      <c r="G80" s="16" t="inlineStr">
        <is>
          <t>v1 flag 비공개</t>
        </is>
      </c>
    </row>
    <row r="81">
      <c r="A81" s="14" t="inlineStr">
        <is>
          <t>공통-BE</t>
        </is>
      </c>
      <c r="B81" s="15" t="inlineStr">
        <is>
          <t>비콘</t>
        </is>
      </c>
      <c r="C81" s="16" t="inlineStr">
        <is>
          <t>이전 완료</t>
        </is>
      </c>
      <c r="D81" s="16" t="inlineStr">
        <is>
          <t>beacons lifecycle API</t>
        </is>
      </c>
      <c r="E81" s="16" t="inlineStr">
        <is>
          <t>beacons 테이블 inventory→active→inactive/lost + claim API</t>
        </is>
      </c>
      <c r="F81" s="17" t="inlineStr">
        <is>
          <t>✅</t>
        </is>
      </c>
      <c r="G81" s="16" t="inlineStr"/>
    </row>
    <row r="82">
      <c r="A82" s="20" t="inlineStr">
        <is>
          <t>슈퍼어드민</t>
        </is>
      </c>
      <c r="B82" s="16" t="inlineStr">
        <is>
          <t>비콘</t>
        </is>
      </c>
      <c r="C82" s="16" t="inlineStr">
        <is>
          <t>이전 완료</t>
        </is>
      </c>
      <c r="D82" s="16" t="inlineStr">
        <is>
          <t>admin Beacons 인벤토리</t>
        </is>
      </c>
      <c r="E82" s="16" t="inlineStr">
        <is>
          <t>인벤토리 CSV 입고 + claim 모니터 + 배터리·펌웨어 표시</t>
        </is>
      </c>
      <c r="F82" s="17" t="inlineStr">
        <is>
          <t>✅</t>
        </is>
      </c>
      <c r="G82" s="16" t="inlineStr"/>
    </row>
    <row r="83">
      <c r="A83" s="19" t="inlineStr">
        <is>
          <t>시설관리자</t>
        </is>
      </c>
      <c r="B83" s="16" t="inlineStr">
        <is>
          <t>비콘</t>
        </is>
      </c>
      <c r="C83" s="16" t="inlineStr">
        <is>
          <t>이전 완료</t>
        </is>
      </c>
      <c r="D83" s="16" t="inlineStr">
        <is>
          <t>provider 비콘 claim 흐름</t>
        </is>
      </c>
      <c r="E83" s="16" t="inlineStr">
        <is>
          <t>StoreInfo 내 비콘 claim UI + listBeacons</t>
        </is>
      </c>
      <c r="F83" s="17" t="inlineStr">
        <is>
          <t>✅</t>
        </is>
      </c>
      <c r="G83" s="16" t="inlineStr">
        <is>
          <t>실 fid는 P5 해소</t>
        </is>
      </c>
    </row>
    <row r="84">
      <c r="A84" s="14" t="inlineStr">
        <is>
          <t>공통-BE</t>
        </is>
      </c>
      <c r="B84" s="16" t="inlineStr">
        <is>
          <t>비콘</t>
        </is>
      </c>
      <c r="C84" s="16" t="inlineStr">
        <is>
          <t>Phase 1 — 남은</t>
        </is>
      </c>
      <c r="D84" s="16" t="inlineStr">
        <is>
          <t>P15 (병합) — beacons.role</t>
        </is>
      </c>
      <c r="E84" s="16" t="inlineStr">
        <is>
          <t>beacons.role(wifi/cashier) 컬럼 + admin·provider UI</t>
        </is>
      </c>
      <c r="F84" s="21" t="inlineStr">
        <is>
          <t>⬜</t>
        </is>
      </c>
      <c r="G84" s="16" t="inlineStr"/>
    </row>
    <row r="85">
      <c r="A85" s="14" t="inlineStr">
        <is>
          <t>공통-BE</t>
        </is>
      </c>
      <c r="B85" s="15" t="inlineStr">
        <is>
          <t>i18n</t>
        </is>
      </c>
      <c r="C85" s="16" t="inlineStr">
        <is>
          <t>이전 완료</t>
        </is>
      </c>
      <c r="D85" s="16" t="inlineStr">
        <is>
          <t>translations API + DeepL 통합</t>
        </is>
      </c>
      <c r="E85" s="16" t="inlineStr">
        <is>
          <t>translations 테이블 + GET /api/i18n/{lang} + DeepL 모듈</t>
        </is>
      </c>
      <c r="F85" s="17" t="inlineStr">
        <is>
          <t>✅</t>
        </is>
      </c>
      <c r="G85" s="16" t="inlineStr"/>
    </row>
    <row r="86">
      <c r="A86" s="20" t="inlineStr">
        <is>
          <t>슈퍼어드민</t>
        </is>
      </c>
      <c r="B86" s="16" t="inlineStr">
        <is>
          <t>i18n</t>
        </is>
      </c>
      <c r="C86" s="16" t="inlineStr">
        <is>
          <t>이전 완료</t>
        </is>
      </c>
      <c r="D86" s="16" t="inlineStr">
        <is>
          <t>admin i18n CRUD</t>
        </is>
      </c>
      <c r="E86" s="16" t="inlineStr">
        <is>
          <t>키별 다국어 입력·수정·자동번역 트리거</t>
        </is>
      </c>
      <c r="F86" s="17" t="inlineStr">
        <is>
          <t>✅</t>
        </is>
      </c>
      <c r="G86" s="16" t="inlineStr"/>
    </row>
    <row r="87">
      <c r="A87" s="18" t="inlineStr">
        <is>
          <t>사용자</t>
        </is>
      </c>
      <c r="B87" s="16" t="inlineStr">
        <is>
          <t>i18n</t>
        </is>
      </c>
      <c r="C87" s="16" t="inlineStr">
        <is>
          <t>이전 완료</t>
        </is>
      </c>
      <c r="D87" s="16" t="inlineStr">
        <is>
          <t>mobile supportedLocales 7개</t>
        </is>
      </c>
      <c r="E87" s="16" t="inlineStr">
        <is>
          <t>7개 언어 기본, 일부 화면만 적용</t>
        </is>
      </c>
      <c r="F87" s="17" t="inlineStr">
        <is>
          <t>✅</t>
        </is>
      </c>
      <c r="G87" s="16" t="inlineStr">
        <is>
          <t>12개로 확장 + 전 화면 → P2</t>
        </is>
      </c>
    </row>
    <row r="88">
      <c r="A88" s="18" t="inlineStr">
        <is>
          <t>사용자</t>
        </is>
      </c>
      <c r="B88" s="16" t="inlineStr">
        <is>
          <t>i18n</t>
        </is>
      </c>
      <c r="C88" s="16" t="inlineStr">
        <is>
          <t>Phase 1 ✅</t>
        </is>
      </c>
      <c r="D88" s="16" t="inlineStr">
        <is>
          <t>P2 — mobile I18nService 통일</t>
        </is>
      </c>
      <c r="E88" s="16" t="inlineStr">
        <is>
          <t>12 supportedLocales + 전 화면 t() 전환 + ko 시드 203→550</t>
        </is>
      </c>
      <c r="F88" s="17" t="inlineStr">
        <is>
          <t>✅</t>
        </is>
      </c>
      <c r="G88" s="16" t="inlineStr"/>
    </row>
    <row r="89">
      <c r="A89" s="14" t="inlineStr">
        <is>
          <t>공통-BE</t>
        </is>
      </c>
      <c r="B89" s="16" t="inlineStr">
        <is>
          <t>i18n</t>
        </is>
      </c>
      <c r="C89" s="16" t="inlineStr">
        <is>
          <t>Phase 1 ✅</t>
        </is>
      </c>
      <c r="D89" s="16" t="inlineStr">
        <is>
          <t>P2 — DeepL 일괄번역 스크립트</t>
        </is>
      </c>
      <c r="E89" s="16" t="inlineStr">
        <is>
          <t>translate_i18n_deepl.py — 키 활성화 시 22언어×549건 배치</t>
        </is>
      </c>
      <c r="F89" s="17" t="inlineStr">
        <is>
          <t>✅</t>
        </is>
      </c>
      <c r="G89" s="16" t="inlineStr"/>
    </row>
    <row r="90">
      <c r="A90" s="14" t="inlineStr">
        <is>
          <t>공통-BE</t>
        </is>
      </c>
      <c r="B90" s="16" t="inlineStr">
        <is>
          <t>i18n</t>
        </is>
      </c>
      <c r="C90" s="16" t="inlineStr">
        <is>
          <t>남은</t>
        </is>
      </c>
      <c r="D90" s="16" t="inlineStr">
        <is>
          <t>DeepL batch 실행</t>
        </is>
      </c>
      <c r="E90" s="16" t="inlineStr">
        <is>
          <t>11개 언어 batch 번역 (현재 ko만)</t>
        </is>
      </c>
      <c r="F90" s="21" t="inlineStr">
        <is>
          <t>⬜</t>
        </is>
      </c>
      <c r="G90" s="16" t="inlineStr">
        <is>
          <t>DeepL 키 활성화 후</t>
        </is>
      </c>
    </row>
    <row r="91">
      <c r="A91" s="14" t="inlineStr">
        <is>
          <t>공통-BE</t>
        </is>
      </c>
      <c r="B91" s="15" t="inlineStr">
        <is>
          <t>정책/약관</t>
        </is>
      </c>
      <c r="C91" s="16" t="inlineStr">
        <is>
          <t>이전 완료</t>
        </is>
      </c>
      <c r="D91" s="16" t="inlineStr">
        <is>
          <t>policies API + 8 KIND</t>
        </is>
      </c>
      <c r="E91" s="16" t="inlineStr">
        <is>
          <t>terms·privacy·location·marketing·push·camera·storage·third_party·age14 등록·버전관리</t>
        </is>
      </c>
      <c r="F91" s="17" t="inlineStr">
        <is>
          <t>✅</t>
        </is>
      </c>
      <c r="G91" s="16" t="inlineStr"/>
    </row>
    <row r="92">
      <c r="A92" s="18" t="inlineStr">
        <is>
          <t>사용자</t>
        </is>
      </c>
      <c r="B92" s="16" t="inlineStr">
        <is>
          <t>정책/약관</t>
        </is>
      </c>
      <c r="C92" s="16" t="inlineStr">
        <is>
          <t>이전 완료</t>
        </is>
      </c>
      <c r="D92" s="16" t="inlineStr">
        <is>
          <t>mobile policy_view</t>
        </is>
      </c>
      <c r="E92" s="16" t="inlineStr">
        <is>
          <t>약관 본문 + 푸터·설정·동의 흐름 진입</t>
        </is>
      </c>
      <c r="F92" s="17" t="inlineStr">
        <is>
          <t>✅</t>
        </is>
      </c>
      <c r="G92" s="16" t="inlineStr">
        <is>
          <t>?lang=ko 강제 → P13</t>
        </is>
      </c>
    </row>
    <row r="93">
      <c r="A93" s="19" t="inlineStr">
        <is>
          <t>시설관리자</t>
        </is>
      </c>
      <c r="B93" s="16" t="inlineStr">
        <is>
          <t>정책/약관</t>
        </is>
      </c>
      <c r="C93" s="16" t="inlineStr">
        <is>
          <t>이전 완료</t>
        </is>
      </c>
      <c r="D93" s="16" t="inlineStr">
        <is>
          <t>provider policy_view</t>
        </is>
      </c>
      <c r="E93" s="16" t="inlineStr">
        <is>
          <t>약관 본문 노출</t>
        </is>
      </c>
      <c r="F93" s="17" t="inlineStr">
        <is>
          <t>✅</t>
        </is>
      </c>
      <c r="G93" s="16" t="inlineStr"/>
    </row>
    <row r="94">
      <c r="A94" s="20" t="inlineStr">
        <is>
          <t>슈퍼어드민</t>
        </is>
      </c>
      <c r="B94" s="16" t="inlineStr">
        <is>
          <t>정책/약관</t>
        </is>
      </c>
      <c r="C94" s="16" t="inlineStr">
        <is>
          <t>이전 완료</t>
        </is>
      </c>
      <c r="D94" s="16" t="inlineStr">
        <is>
          <t>admin Policies CRUD</t>
        </is>
      </c>
      <c r="E94" s="16" t="inlineStr">
        <is>
          <t>약관 등록·버전 발행 UI</t>
        </is>
      </c>
      <c r="F94" s="17" t="inlineStr">
        <is>
          <t>✅</t>
        </is>
      </c>
      <c r="G94" s="16" t="inlineStr"/>
    </row>
    <row r="95">
      <c r="A95" s="14" t="inlineStr">
        <is>
          <t>공통-BE</t>
        </is>
      </c>
      <c r="B95" s="16" t="inlineStr">
        <is>
          <t>정책/약관</t>
        </is>
      </c>
      <c r="C95" s="16" t="inlineStr">
        <is>
          <t>Phase 1 — 남은</t>
        </is>
      </c>
      <c r="D95" s="16" t="inlineStr">
        <is>
          <t>P13 — 환불·청소년·쿠키 3종</t>
        </is>
      </c>
      <c r="E95" s="16" t="inlineStr">
        <is>
          <t>BE policy KIND 추가 + admin Policies + mobile/provider 노출</t>
        </is>
      </c>
      <c r="F95" s="21" t="inlineStr">
        <is>
          <t>⬜</t>
        </is>
      </c>
      <c r="G95" s="16" t="inlineStr">
        <is>
          <t>C14 해소</t>
        </is>
      </c>
    </row>
    <row r="96">
      <c r="A96" s="18" t="inlineStr">
        <is>
          <t>사용자</t>
        </is>
      </c>
      <c r="B96" s="15" t="inlineStr">
        <is>
          <t>디자인 시스템</t>
        </is>
      </c>
      <c r="C96" s="16" t="inlineStr">
        <is>
          <t>이전 완료</t>
        </is>
      </c>
      <c r="D96" s="16" t="inlineStr">
        <is>
          <t>mobile PwTheme + 보라</t>
        </is>
      </c>
      <c r="E96" s="16" t="inlineStr">
        <is>
          <t>PwTheme 다크 + Pw* 위젯 13종 (4종은 P1에서 추가)</t>
        </is>
      </c>
      <c r="F96" s="17" t="inlineStr">
        <is>
          <t>✅</t>
        </is>
      </c>
      <c r="G96" s="16" t="inlineStr"/>
    </row>
    <row r="97">
      <c r="A97" s="19" t="inlineStr">
        <is>
          <t>시설관리자</t>
        </is>
      </c>
      <c r="B97" s="16" t="inlineStr">
        <is>
          <t>디자인 시스템</t>
        </is>
      </c>
      <c r="C97" s="16" t="inlineStr">
        <is>
          <t>이전 완료</t>
        </is>
      </c>
      <c r="D97" s="16" t="inlineStr">
        <is>
          <t>provider 다크 + 녹색</t>
        </is>
      </c>
      <c r="E97" s="16" t="inlineStr">
        <is>
          <t>provider 디자인 시스템 통합 PR #66~#87</t>
        </is>
      </c>
      <c r="F97" s="17" t="inlineStr">
        <is>
          <t>✅</t>
        </is>
      </c>
      <c r="G97" s="16" t="inlineStr"/>
    </row>
    <row r="98">
      <c r="A98" s="20" t="inlineStr">
        <is>
          <t>슈퍼어드민</t>
        </is>
      </c>
      <c r="B98" s="16" t="inlineStr">
        <is>
          <t>디자인 시스템</t>
        </is>
      </c>
      <c r="C98" s="16" t="inlineStr">
        <is>
          <t>이전 완료</t>
        </is>
      </c>
      <c r="D98" s="16" t="inlineStr">
        <is>
          <t>admin 다크 + 블루</t>
        </is>
      </c>
      <c r="E98" s="16" t="inlineStr">
        <is>
          <t>admin 다크 톤 통합 PR #65</t>
        </is>
      </c>
      <c r="F98" s="17" t="inlineStr">
        <is>
          <t>✅</t>
        </is>
      </c>
      <c r="G98" s="16" t="inlineStr"/>
    </row>
    <row r="99">
      <c r="A99" s="18" t="inlineStr">
        <is>
          <t>사용자</t>
        </is>
      </c>
      <c r="B99" s="16" t="inlineStr">
        <is>
          <t>디자인 시스템</t>
        </is>
      </c>
      <c r="C99" s="16" t="inlineStr">
        <is>
          <t>Phase 1 ✅</t>
        </is>
      </c>
      <c r="D99" s="16" t="inlineStr">
        <is>
          <t>P1 — mobile 기반 단일화</t>
        </is>
      </c>
      <c r="E99" s="16" t="inlineStr">
        <is>
          <t>테마 단일화 + 시스템 폰트 + Pw* 4종 신규(Radio·Checkbox·Dropdown·Chip)</t>
        </is>
      </c>
      <c r="F99" s="17" t="inlineStr">
        <is>
          <t>✅</t>
        </is>
      </c>
      <c r="G99" s="16" t="inlineStr"/>
    </row>
    <row r="100">
      <c r="A100" s="19" t="inlineStr">
        <is>
          <t>시설관리자</t>
        </is>
      </c>
      <c r="B100" s="16" t="inlineStr">
        <is>
          <t>디자인 시스템</t>
        </is>
      </c>
      <c r="C100" s="16" t="inlineStr">
        <is>
          <t>Phase 1 ✅</t>
        </is>
      </c>
      <c r="D100" s="16" t="inlineStr">
        <is>
          <t>P3 — 웹 공용 모달</t>
        </is>
      </c>
      <c r="E100" s="16" t="inlineStr">
        <is>
          <t>alert/confirm 33곳 → useDialog() + 색 토큰 정합 (provider 16 + admin 17)</t>
        </is>
      </c>
      <c r="F100" s="17" t="inlineStr">
        <is>
          <t>✅</t>
        </is>
      </c>
      <c r="G100" s="16" t="inlineStr"/>
    </row>
    <row r="101">
      <c r="A101" s="20" t="inlineStr">
        <is>
          <t>슈퍼어드민</t>
        </is>
      </c>
      <c r="B101" s="15" t="inlineStr">
        <is>
          <t>대시보드·통계</t>
        </is>
      </c>
      <c r="C101" s="16" t="inlineStr">
        <is>
          <t>이전 완료</t>
        </is>
      </c>
      <c r="D101" s="16" t="inlineStr">
        <is>
          <t>admin 기본 7페이지</t>
        </is>
      </c>
      <c r="E101" s="16" t="inlineStr">
        <is>
          <t>Login + Dashboard + Beacons + Approvals + Battery + Announcements + Stores</t>
        </is>
      </c>
      <c r="F101" s="17" t="inlineStr">
        <is>
          <t>✅</t>
        </is>
      </c>
      <c r="G101" s="16" t="inlineStr">
        <is>
          <t>PR #36~#38</t>
        </is>
      </c>
    </row>
    <row r="102">
      <c r="A102" s="20" t="inlineStr">
        <is>
          <t>슈퍼어드민</t>
        </is>
      </c>
      <c r="B102" s="16" t="inlineStr">
        <is>
          <t>대시보드·통계</t>
        </is>
      </c>
      <c r="C102" s="16" t="inlineStr">
        <is>
          <t>이전 완료</t>
        </is>
      </c>
      <c r="D102" s="16" t="inlineStr">
        <is>
          <t>admin Payments·Subscriptions·환불</t>
        </is>
      </c>
      <c r="E102" s="16" t="inlineStr">
        <is>
          <t>결제/구독 관리 + 환불 모달 — 실 API 연동</t>
        </is>
      </c>
      <c r="F102" s="17" t="inlineStr">
        <is>
          <t>✅</t>
        </is>
      </c>
      <c r="G102" s="16" t="inlineStr">
        <is>
          <t>PR #39</t>
        </is>
      </c>
    </row>
    <row r="103">
      <c r="A103" s="20" t="inlineStr">
        <is>
          <t>슈퍼어드민</t>
        </is>
      </c>
      <c r="B103" s="16" t="inlineStr">
        <is>
          <t>대시보드·통계</t>
        </is>
      </c>
      <c r="C103" s="16" t="inlineStr">
        <is>
          <t>이전 완료</t>
        </is>
      </c>
      <c r="D103" s="16" t="inlineStr">
        <is>
          <t>admin Policies·Translations·Audit·Reports</t>
        </is>
      </c>
      <c r="E103" s="16" t="inlineStr">
        <is>
          <t>약관·번역·감사·신고 관리</t>
        </is>
      </c>
      <c r="F103" s="17" t="inlineStr">
        <is>
          <t>✅</t>
        </is>
      </c>
      <c r="G103" s="16" t="inlineStr"/>
    </row>
    <row r="104">
      <c r="A104" s="20" t="inlineStr">
        <is>
          <t>슈퍼어드민</t>
        </is>
      </c>
      <c r="B104" s="16" t="inlineStr">
        <is>
          <t>대시보드·통계</t>
        </is>
      </c>
      <c r="C104" s="16" t="inlineStr">
        <is>
          <t>Phase 1 — 남은</t>
        </is>
      </c>
      <c r="D104" s="16" t="inlineStr">
        <is>
          <t>P11 — Dashboard 가짜데이터 제거</t>
        </is>
      </c>
      <c r="E104" s="16" t="inlineStr">
        <is>
          <t>실 통계 API 연동</t>
        </is>
      </c>
      <c r="F104" s="21" t="inlineStr">
        <is>
          <t>⬜</t>
        </is>
      </c>
      <c r="G104" s="16" t="inlineStr"/>
    </row>
    <row r="105">
      <c r="A105" s="20" t="inlineStr">
        <is>
          <t>슈퍼어드민</t>
        </is>
      </c>
      <c r="B105" s="16" t="inlineStr">
        <is>
          <t>대시보드·통계</t>
        </is>
      </c>
      <c r="C105" s="16" t="inlineStr">
        <is>
          <t>Phase 1 — 남은</t>
        </is>
      </c>
      <c r="D105" s="16" t="inlineStr">
        <is>
          <t>P11 — StaffMonitor·CouponStats placeholder</t>
        </is>
      </c>
      <c r="E105" s="16" t="inlineStr">
        <is>
          <t>실 데이터 연동</t>
        </is>
      </c>
      <c r="F105" s="21" t="inlineStr">
        <is>
          <t>⬜</t>
        </is>
      </c>
      <c r="G105" s="16" t="inlineStr"/>
    </row>
    <row r="106">
      <c r="A106" s="20" t="inlineStr">
        <is>
          <t>슈퍼어드민</t>
        </is>
      </c>
      <c r="B106" s="16" t="inlineStr">
        <is>
          <t>대시보드·통계</t>
        </is>
      </c>
      <c r="C106" s="16" t="inlineStr">
        <is>
          <t>Phase 1 — 남은</t>
        </is>
      </c>
      <c r="D106" s="16" t="inlineStr">
        <is>
          <t>P20 — app-versions UI</t>
        </is>
      </c>
      <c r="E106" s="16" t="inlineStr">
        <is>
          <t>백엔드 완성, admin UI만 신규</t>
        </is>
      </c>
      <c r="F106" s="21" t="inlineStr">
        <is>
          <t>⬜</t>
        </is>
      </c>
      <c r="G106" s="16" t="inlineStr">
        <is>
          <t>C11 해소</t>
        </is>
      </c>
    </row>
    <row r="107">
      <c r="A107" s="14" t="inlineStr">
        <is>
          <t>공통-BE</t>
        </is>
      </c>
      <c r="B107" s="15" t="inlineStr">
        <is>
          <t>직원 관리</t>
        </is>
      </c>
      <c r="C107" s="16" t="inlineStr">
        <is>
          <t>이전 완료</t>
        </is>
      </c>
      <c r="D107" s="16" t="inlineStr">
        <is>
          <t>백엔드 staff API</t>
        </is>
      </c>
      <c r="E107" s="16" t="inlineStr">
        <is>
          <t>직원 초대/권한/관리 백엔드</t>
        </is>
      </c>
      <c r="F107" s="17" t="inlineStr">
        <is>
          <t>✅</t>
        </is>
      </c>
      <c r="G107" s="16" t="inlineStr"/>
    </row>
    <row r="108">
      <c r="A108" s="19" t="inlineStr">
        <is>
          <t>시설관리자</t>
        </is>
      </c>
      <c r="B108" s="16" t="inlineStr">
        <is>
          <t>직원 관리</t>
        </is>
      </c>
      <c r="C108" s="16" t="inlineStr">
        <is>
          <t>이전 완료</t>
        </is>
      </c>
      <c r="D108" s="16" t="inlineStr">
        <is>
          <t>provider StaffManagement UI</t>
        </is>
      </c>
      <c r="E108" s="16" t="inlineStr">
        <is>
          <t>직원 목록·초대·권한 UI 완성, 데이터는 mock</t>
        </is>
      </c>
      <c r="F108" s="17" t="inlineStr">
        <is>
          <t>✅</t>
        </is>
      </c>
      <c r="G108" s="16" t="inlineStr"/>
    </row>
    <row r="109">
      <c r="A109" s="19" t="inlineStr">
        <is>
          <t>시설관리자</t>
        </is>
      </c>
      <c r="B109" s="16" t="inlineStr">
        <is>
          <t>직원 관리</t>
        </is>
      </c>
      <c r="C109" s="16" t="inlineStr">
        <is>
          <t>Phase 1 — 남은</t>
        </is>
      </c>
      <c r="D109" s="16" t="inlineStr">
        <is>
          <t>P11 — provider StaffManagement 실연동</t>
        </is>
      </c>
      <c r="E109" s="16" t="inlineStr">
        <is>
          <t>mock → 실 staff API 연동</t>
        </is>
      </c>
      <c r="F109" s="21" t="inlineStr">
        <is>
          <t>⬜</t>
        </is>
      </c>
      <c r="G109" s="16" t="inlineStr"/>
    </row>
    <row r="110">
      <c r="A110" s="20" t="inlineStr">
        <is>
          <t>슈퍼어드민</t>
        </is>
      </c>
      <c r="B110" s="16" t="inlineStr">
        <is>
          <t>직원 관리</t>
        </is>
      </c>
      <c r="C110" s="16" t="inlineStr">
        <is>
          <t>Phase 1 — 남은</t>
        </is>
      </c>
      <c r="D110" s="16" t="inlineStr">
        <is>
          <t>P11 — admin StaffMonitor 실연동</t>
        </is>
      </c>
      <c r="E110" s="16" t="inlineStr">
        <is>
          <t>시설별 직원 모니터링</t>
        </is>
      </c>
      <c r="F110" s="21" t="inlineStr">
        <is>
          <t>⬜</t>
        </is>
      </c>
      <c r="G110" s="16" t="inlineStr"/>
    </row>
    <row r="111">
      <c r="A111" s="18" t="inlineStr">
        <is>
          <t>사용자</t>
        </is>
      </c>
      <c r="B111" s="15" t="inlineStr">
        <is>
          <t>심의 직격</t>
        </is>
      </c>
      <c r="C111" s="16" t="inlineStr">
        <is>
          <t>이전 완료</t>
        </is>
      </c>
      <c r="D111" s="16" t="inlineStr">
        <is>
          <t>consent 단계 + 동의</t>
        </is>
      </c>
      <c r="E111" s="16" t="inlineStr">
        <is>
          <t>8 KIND 동의 + 미성년자 보호 + 약관 본문</t>
        </is>
      </c>
      <c r="F111" s="17" t="inlineStr">
        <is>
          <t>✅</t>
        </is>
      </c>
      <c r="G111" s="16" t="inlineStr">
        <is>
          <t>placeholder 노출 버그</t>
        </is>
      </c>
    </row>
    <row r="112">
      <c r="A112" s="18" t="inlineStr">
        <is>
          <t>사용자</t>
        </is>
      </c>
      <c r="B112" s="16" t="inlineStr">
        <is>
          <t>심의 직격</t>
        </is>
      </c>
      <c r="C112" s="16" t="inlineStr">
        <is>
          <t>이전 완료</t>
        </is>
      </c>
      <c r="D112" s="16" t="inlineStr">
        <is>
          <t>settings 화면</t>
        </is>
      </c>
      <c r="E112" s="16" t="inlineStr">
        <is>
          <t>계정·알림·약관·고객지원·회원탈퇴</t>
        </is>
      </c>
      <c r="F112" s="17" t="inlineStr">
        <is>
          <t>✅</t>
        </is>
      </c>
      <c r="G112" s="16" t="inlineStr">
        <is>
          <t>dev API URL 노출 + 앱 버전 하드코딩</t>
        </is>
      </c>
    </row>
    <row r="113">
      <c r="A113" s="18" t="inlineStr">
        <is>
          <t>사용자</t>
        </is>
      </c>
      <c r="B113" s="16" t="inlineStr">
        <is>
          <t>심의 직격</t>
        </is>
      </c>
      <c r="C113" s="16" t="inlineStr">
        <is>
          <t>Phase 1 — 남은</t>
        </is>
      </c>
      <c r="D113" s="16" t="inlineStr">
        <is>
          <t>P12 — consent placeholder 제거</t>
        </is>
      </c>
      <c r="E113" s="16" t="inlineStr">
        <is>
          <t>placeholder 본문 노출 버그 수정</t>
        </is>
      </c>
      <c r="F113" s="21" t="inlineStr">
        <is>
          <t>⬜</t>
        </is>
      </c>
      <c r="G113" s="16" t="inlineStr">
        <is>
          <t>심의 reject 방지</t>
        </is>
      </c>
    </row>
    <row r="114">
      <c r="A114" s="18" t="inlineStr">
        <is>
          <t>사용자</t>
        </is>
      </c>
      <c r="B114" s="16" t="inlineStr">
        <is>
          <t>심의 직격</t>
        </is>
      </c>
      <c r="C114" s="16" t="inlineStr">
        <is>
          <t>Phase 1 — 남은</t>
        </is>
      </c>
      <c r="D114" s="16" t="inlineStr">
        <is>
          <t>P12 — 동의 로드 실패 복구</t>
        </is>
      </c>
      <c r="E114" s="16" t="inlineStr">
        <is>
          <t>네트워크 오류 시 재시도/안내</t>
        </is>
      </c>
      <c r="F114" s="21" t="inlineStr">
        <is>
          <t>⬜</t>
        </is>
      </c>
      <c r="G114" s="16" t="inlineStr"/>
    </row>
    <row r="115">
      <c r="A115" s="18" t="inlineStr">
        <is>
          <t>사용자</t>
        </is>
      </c>
      <c r="B115" s="16" t="inlineStr">
        <is>
          <t>심의 직격</t>
        </is>
      </c>
      <c r="C115" s="16" t="inlineStr">
        <is>
          <t>Phase 1 — 남은</t>
        </is>
      </c>
      <c r="D115" s="16" t="inlineStr">
        <is>
          <t>P12 — settings dev 정보 제거 + 앱 버전 동적</t>
        </is>
      </c>
      <c r="E115" s="16" t="inlineStr">
        <is>
          <t>API URL 제거 + package_info_plus</t>
        </is>
      </c>
      <c r="F115" s="21" t="inlineStr">
        <is>
          <t>⬜</t>
        </is>
      </c>
      <c r="G115" s="16" t="inlineStr">
        <is>
          <t>C9 해소</t>
        </is>
      </c>
    </row>
    <row r="116">
      <c r="A116" s="14" t="inlineStr">
        <is>
          <t>공통-BE</t>
        </is>
      </c>
      <c r="B116" s="15" t="inlineStr">
        <is>
          <t>앱 버전관리</t>
        </is>
      </c>
      <c r="C116" s="16" t="inlineStr">
        <is>
          <t>이전 완료</t>
        </is>
      </c>
      <c r="D116" s="16" t="inlineStr">
        <is>
          <t>BE routes/version.py + app_versions</t>
        </is>
      </c>
      <c r="E116" s="16" t="inlineStr">
        <is>
          <t>GET/PUT /api/admin/app-versions + 모바일 GET /api/version</t>
        </is>
      </c>
      <c r="F116" s="17" t="inlineStr">
        <is>
          <t>✅</t>
        </is>
      </c>
      <c r="G116" s="16" t="inlineStr">
        <is>
          <t>코드 완성 — admin UI만 필요</t>
        </is>
      </c>
    </row>
    <row r="117">
      <c r="A117" s="20" t="inlineStr">
        <is>
          <t>슈퍼어드민</t>
        </is>
      </c>
      <c r="B117" s="16" t="inlineStr">
        <is>
          <t>앱 버전관리</t>
        </is>
      </c>
      <c r="C117" s="16" t="inlineStr">
        <is>
          <t>Phase 1 — 남은</t>
        </is>
      </c>
      <c r="D117" s="16" t="inlineStr">
        <is>
          <t>P20 — admin app-versions UI</t>
        </is>
      </c>
      <c r="E117" s="16" t="inlineStr">
        <is>
          <t>버전 등록·강제업데이트/권장 토글·OS별</t>
        </is>
      </c>
      <c r="F117" s="21" t="inlineStr">
        <is>
          <t>⬜</t>
        </is>
      </c>
      <c r="G117" s="16" t="inlineStr"/>
    </row>
    <row r="118">
      <c r="A118" s="18" t="inlineStr">
        <is>
          <t>사용자</t>
        </is>
      </c>
      <c r="B118" s="16" t="inlineStr">
        <is>
          <t>앱 버전관리</t>
        </is>
      </c>
      <c r="C118" s="16" t="inlineStr">
        <is>
          <t>Phase 1 — 남은</t>
        </is>
      </c>
      <c r="D118" s="16" t="inlineStr">
        <is>
          <t>P20 — mobile 최소버전 게이트</t>
        </is>
      </c>
      <c r="E118" s="16" t="inlineStr">
        <is>
          <t>splash 버전 체크 → 강제 업데이트 모달</t>
        </is>
      </c>
      <c r="F118" s="21" t="inlineStr">
        <is>
          <t>⬜</t>
        </is>
      </c>
      <c r="G118" s="16" t="inlineStr">
        <is>
          <t>일부 처리 존재</t>
        </is>
      </c>
    </row>
    <row r="119">
      <c r="A119" s="22" t="inlineStr">
        <is>
          <t>인프라</t>
        </is>
      </c>
      <c r="B119" s="15" t="inlineStr">
        <is>
          <t>심의 메타</t>
        </is>
      </c>
      <c r="C119" s="16" t="inlineStr">
        <is>
          <t>Phase 1 — 남은</t>
        </is>
      </c>
      <c r="D119" s="16" t="inlineStr">
        <is>
          <t>P21 — iOS PrivacyInfo.xcprivacy</t>
        </is>
      </c>
      <c r="E119" s="16" t="inlineStr">
        <is>
          <t>iOS 17.4+ 필수 — 데이터 수집/추적 명시</t>
        </is>
      </c>
      <c r="F119" s="21" t="inlineStr">
        <is>
          <t>⬜</t>
        </is>
      </c>
      <c r="G119" s="16" t="inlineStr">
        <is>
          <t>심의 reject 방지</t>
        </is>
      </c>
    </row>
    <row r="120">
      <c r="A120" s="22" t="inlineStr">
        <is>
          <t>인프라</t>
        </is>
      </c>
      <c r="B120" s="16" t="inlineStr">
        <is>
          <t>심의 메타</t>
        </is>
      </c>
      <c r="C120" s="16" t="inlineStr">
        <is>
          <t>Phase 1 — 남은</t>
        </is>
      </c>
      <c r="D120" s="16" t="inlineStr">
        <is>
          <t>P21 — Bundle ID 확정</t>
        </is>
      </c>
      <c r="E120" s="16" t="inlineStr">
        <is>
          <t>co.triggersoft.pathwave 등 최종</t>
        </is>
      </c>
      <c r="F120" s="21" t="inlineStr">
        <is>
          <t>⬜</t>
        </is>
      </c>
      <c r="G120" s="16" t="inlineStr"/>
    </row>
    <row r="121">
      <c r="A121" s="22" t="inlineStr">
        <is>
          <t>인프라</t>
        </is>
      </c>
      <c r="B121" s="16" t="inlineStr">
        <is>
          <t>심의 메타</t>
        </is>
      </c>
      <c r="C121" s="16" t="inlineStr">
        <is>
          <t>Phase 1 — 남은</t>
        </is>
      </c>
      <c r="D121" s="16" t="inlineStr">
        <is>
          <t>P21 — Android Photo Picker</t>
        </is>
      </c>
      <c r="E121" s="16" t="inlineStr">
        <is>
          <t>Android 13+ 신규 권한 모델</t>
        </is>
      </c>
      <c r="F121" s="21" t="inlineStr">
        <is>
          <t>⬜</t>
        </is>
      </c>
      <c r="G121" s="16" t="inlineStr"/>
    </row>
    <row r="122">
      <c r="A122" s="22" t="inlineStr">
        <is>
          <t>인프라</t>
        </is>
      </c>
      <c r="B122" s="16" t="inlineStr">
        <is>
          <t>심의 메타</t>
        </is>
      </c>
      <c r="C122" s="16" t="inlineStr">
        <is>
          <t>Phase 1 — 남은</t>
        </is>
      </c>
      <c r="D122" s="16" t="inlineStr">
        <is>
          <t>P21 — 계정삭제 웹 URL</t>
        </is>
      </c>
      <c r="E122" s="16" t="inlineStr">
        <is>
          <t>Google Play 정책 — 앱 외부 웹 URL 제공</t>
        </is>
      </c>
      <c r="F122" s="21" t="inlineStr">
        <is>
          <t>⬜</t>
        </is>
      </c>
      <c r="G122" s="16" t="inlineStr"/>
    </row>
    <row r="123">
      <c r="A123" s="14" t="inlineStr">
        <is>
          <t>공통-BE</t>
        </is>
      </c>
      <c r="B123" s="15" t="inlineStr">
        <is>
          <t>회사 정보</t>
        </is>
      </c>
      <c r="C123" s="16" t="inlineStr">
        <is>
          <t>이전 완료</t>
        </is>
      </c>
      <c r="D123" s="16" t="inlineStr">
        <is>
          <t>company_info API (Phase M)</t>
        </is>
      </c>
      <c r="E123" s="16" t="inlineStr">
        <is>
          <t>슈퍼어드민 입력값 GET /api/company-info</t>
        </is>
      </c>
      <c r="F123" s="17" t="inlineStr">
        <is>
          <t>✅</t>
        </is>
      </c>
      <c r="G123" s="16" t="inlineStr"/>
    </row>
    <row r="124">
      <c r="A124" s="18" t="inlineStr">
        <is>
          <t>사용자</t>
        </is>
      </c>
      <c r="B124" s="16" t="inlineStr">
        <is>
          <t>회사 정보</t>
        </is>
      </c>
      <c r="C124" s="16" t="inlineStr">
        <is>
          <t>이전 완료</t>
        </is>
      </c>
      <c r="D124" s="16" t="inlineStr">
        <is>
          <t>mobile PwFooter</t>
        </is>
      </c>
      <c r="E124" s="16" t="inlineStr">
        <is>
          <t>CompanyInfoService 실연동 — DB값 + i18n fallback</t>
        </is>
      </c>
      <c r="F124" s="17" t="inlineStr">
        <is>
          <t>✅</t>
        </is>
      </c>
      <c r="G124" s="16" t="inlineStr"/>
    </row>
    <row r="125">
      <c r="A125" s="19" t="inlineStr">
        <is>
          <t>시설관리자</t>
        </is>
      </c>
      <c r="B125" s="16" t="inlineStr">
        <is>
          <t>회사 정보</t>
        </is>
      </c>
      <c r="C125" s="16" t="inlineStr">
        <is>
          <t>이전 완료</t>
        </is>
      </c>
      <c r="D125" s="16" t="inlineStr">
        <is>
          <t>provider PwFooter</t>
        </is>
      </c>
      <c r="E125" s="16" t="inlineStr">
        <is>
          <t>CompanyInfoService 실연동</t>
        </is>
      </c>
      <c r="F125" s="17" t="inlineStr">
        <is>
          <t>✅</t>
        </is>
      </c>
      <c r="G125" s="16" t="inlineStr"/>
    </row>
    <row r="126">
      <c r="A126" s="20" t="inlineStr">
        <is>
          <t>슈퍼어드민</t>
        </is>
      </c>
      <c r="B126" s="16" t="inlineStr">
        <is>
          <t>회사 정보</t>
        </is>
      </c>
      <c r="C126" s="16" t="inlineStr">
        <is>
          <t>남은</t>
        </is>
      </c>
      <c r="D126" s="16" t="inlineStr">
        <is>
          <t>실 법인정보 입력</t>
        </is>
      </c>
      <c r="E126" s="16" t="inlineStr">
        <is>
          <t>슈퍼어드민이 트리거소프트 실 정보 admin에서 입력</t>
        </is>
      </c>
      <c r="F126" s="21" t="inlineStr">
        <is>
          <t>⬜</t>
        </is>
      </c>
      <c r="G126" s="16" t="inlineStr">
        <is>
          <t>법인 등기 완료 — 등록만 남음</t>
        </is>
      </c>
    </row>
    <row r="127">
      <c r="A127" s="22" t="inlineStr">
        <is>
          <t>인프라</t>
        </is>
      </c>
      <c r="B127" s="15" t="inlineStr">
        <is>
          <t>운영 인프라</t>
        </is>
      </c>
      <c r="C127" s="16" t="inlineStr">
        <is>
          <t>이전 완료</t>
        </is>
      </c>
      <c r="D127" s="16" t="inlineStr">
        <is>
          <t>BE 보안 강화</t>
        </is>
      </c>
      <c r="E127" s="16" t="inlineStr">
        <is>
          <t>SECRET_KEY/AES_KEY ENV + CORS 화이트리스트 + rate-limit (PR #35)</t>
        </is>
      </c>
      <c r="F127" s="17" t="inlineStr">
        <is>
          <t>✅</t>
        </is>
      </c>
      <c r="G127" s="16" t="inlineStr"/>
    </row>
    <row r="128">
      <c r="A128" s="22" t="inlineStr">
        <is>
          <t>인프라</t>
        </is>
      </c>
      <c r="B128" s="16" t="inlineStr">
        <is>
          <t>운영 인프라</t>
        </is>
      </c>
      <c r="C128" s="16" t="inlineStr">
        <is>
          <t>이전 완료</t>
        </is>
      </c>
      <c r="D128" s="16" t="inlineStr">
        <is>
          <t>BE provider 추상화</t>
        </is>
      </c>
      <c r="E128" s="16" t="inlineStr">
        <is>
          <t>PG(sim/toss) + Email(stub/sendgrid/smtp) + Push(stub/fcm/apns) 추상화</t>
        </is>
      </c>
      <c r="F128" s="17" t="inlineStr">
        <is>
          <t>✅</t>
        </is>
      </c>
      <c r="G128" s="16" t="inlineStr">
        <is>
          <t>키 활성화 시 즉시 전환</t>
        </is>
      </c>
    </row>
    <row r="129">
      <c r="A129" s="22" t="inlineStr">
        <is>
          <t>인프라</t>
        </is>
      </c>
      <c r="B129" s="16" t="inlineStr">
        <is>
          <t>운영 인프라</t>
        </is>
      </c>
      <c r="C129" s="16" t="inlineStr">
        <is>
          <t>이전 완료</t>
        </is>
      </c>
      <c r="D129" s="16" t="inlineStr">
        <is>
          <t>BE gunicorn/wsgi + Sentry</t>
        </is>
      </c>
      <c r="E129" s="16" t="inlineStr">
        <is>
          <t>프로덕션 배포 골격 + Sentry 통합</t>
        </is>
      </c>
      <c r="F129" s="17" t="inlineStr">
        <is>
          <t>✅</t>
        </is>
      </c>
      <c r="G129" s="16" t="inlineStr"/>
    </row>
    <row r="130">
      <c r="A130" s="22" t="inlineStr">
        <is>
          <t>인프라</t>
        </is>
      </c>
      <c r="B130" s="16" t="inlineStr">
        <is>
          <t>운영 인프라</t>
        </is>
      </c>
      <c r="C130" s="16" t="inlineStr">
        <is>
          <t>이전 완료</t>
        </is>
      </c>
      <c r="D130" s="16" t="inlineStr">
        <is>
          <t>BE PostgreSQL 어댑터</t>
        </is>
      </c>
      <c r="E130" s="16" t="inlineStr">
        <is>
          <t>DATABASE_URL ENV 자동 분기 (sqlite ↔ pg)</t>
        </is>
      </c>
      <c r="F130" s="17" t="inlineStr">
        <is>
          <t>✅</t>
        </is>
      </c>
      <c r="G130" s="16" t="inlineStr"/>
    </row>
    <row r="131">
      <c r="A131" s="22" t="inlineStr">
        <is>
          <t>인프라</t>
        </is>
      </c>
      <c r="B131" s="16" t="inlineStr">
        <is>
          <t>운영 인프라</t>
        </is>
      </c>
      <c r="C131" s="16" t="inlineStr">
        <is>
          <t>Phase 1.5 — 남은</t>
        </is>
      </c>
      <c r="D131" s="16" t="inlineStr">
        <is>
          <t>개발환경 서버 구축</t>
        </is>
      </c>
      <c r="E131" s="16" t="inlineStr">
        <is>
          <t>국내 클라우드(가비아 G클라우드 등) + Postgres + 환경변수 키 주입</t>
        </is>
      </c>
      <c r="F131" s="21" t="inlineStr">
        <is>
          <t>⬜</t>
        </is>
      </c>
      <c r="G131" s="16" t="inlineStr">
        <is>
          <t>코드 완료 후 출시 전 단계</t>
        </is>
      </c>
    </row>
    <row r="132">
      <c r="A132" s="22" t="inlineStr">
        <is>
          <t>인프라</t>
        </is>
      </c>
      <c r="B132" s="16" t="inlineStr">
        <is>
          <t>운영 인프라</t>
        </is>
      </c>
      <c r="C132" s="16" t="inlineStr">
        <is>
          <t>Phase 1.5 — 남은</t>
        </is>
      </c>
      <c r="D132" s="16" t="inlineStr">
        <is>
          <t>통합 테스트 (3콘솔 + mobile)</t>
        </is>
      </c>
      <c r="E132" s="16" t="inlineStr">
        <is>
          <t>실 서버 + 실 키 + 3콘솔 + mobile 실 기기 walk-through</t>
        </is>
      </c>
      <c r="F132" s="21" t="inlineStr">
        <is>
          <t>⬜</t>
        </is>
      </c>
      <c r="G132" s="16" t="inlineStr"/>
    </row>
    <row r="133">
      <c r="A133" s="22" t="inlineStr">
        <is>
          <t>인프라</t>
        </is>
      </c>
      <c r="B133" s="16" t="inlineStr">
        <is>
          <t>운영 인프라</t>
        </is>
      </c>
      <c r="C133" s="16" t="inlineStr">
        <is>
          <t>남은</t>
        </is>
      </c>
      <c r="D133" s="16" t="inlineStr">
        <is>
          <t>운영 서버 배포</t>
        </is>
      </c>
      <c r="E133" s="16" t="inlineStr">
        <is>
          <t>개발환경 검증 → 운영 서버 전환</t>
        </is>
      </c>
      <c r="F133" s="21" t="inlineStr">
        <is>
          <t>⬜</t>
        </is>
      </c>
      <c r="G133" s="16" t="inlineStr">
        <is>
          <t>심의 제출 직전</t>
        </is>
      </c>
    </row>
    <row r="134">
      <c r="A134" s="22" t="inlineStr">
        <is>
          <t>인프라</t>
        </is>
      </c>
      <c r="B134" s="15" t="inlineStr">
        <is>
          <t>Phase 2~4 테스트</t>
        </is>
      </c>
      <c r="C134" s="16" t="inlineStr">
        <is>
          <t>남은</t>
        </is>
      </c>
      <c r="D134" s="16" t="inlineStr">
        <is>
          <t>W7 — 6 페르소나 테스트 시드</t>
        </is>
      </c>
      <c r="E134" s="16" t="inlineStr">
        <is>
          <t>외국인/한국인/소규모/중대형/직원/슈퍼어드민 시나리오 + walk-through</t>
        </is>
      </c>
      <c r="F134" s="21" t="inlineStr">
        <is>
          <t>⬜</t>
        </is>
      </c>
      <c r="G134" s="16" t="inlineStr">
        <is>
          <t>7월 중순~하순</t>
        </is>
      </c>
    </row>
    <row r="135">
      <c r="A135" s="22" t="inlineStr">
        <is>
          <t>인프라</t>
        </is>
      </c>
      <c r="B135" s="15" t="inlineStr">
        <is>
          <t>Phase 5 제출</t>
        </is>
      </c>
      <c r="C135" s="16" t="inlineStr">
        <is>
          <t>남은</t>
        </is>
      </c>
      <c r="D135" s="16" t="inlineStr">
        <is>
          <t>스토어 메타데이터 + 빌드</t>
        </is>
      </c>
      <c r="E135" s="16" t="inlineStr">
        <is>
          <t>iOS/Android 빌드 + 스크린샷 + 메타데이터(다국어) + 심의 제출</t>
        </is>
      </c>
      <c r="F135" s="21" t="inlineStr">
        <is>
          <t>⬜</t>
        </is>
      </c>
      <c r="G135" s="16" t="inlineStr">
        <is>
          <t>7월 하순~8월 초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22" customWidth="1" min="4" max="4"/>
    <col width="46" customWidth="1" min="5" max="5"/>
    <col width="8" customWidth="1" min="6" max="6"/>
    <col width="9" customWidth="1" min="7" max="7"/>
    <col width="9" customWidth="1" min="8" max="8"/>
    <col width="12" customWidth="1" min="9" max="9"/>
    <col width="18" customWidth="1" min="10" max="10"/>
    <col width="12" customWidth="1" min="11" max="11"/>
    <col width="28" customWidth="1" min="12" max="12"/>
  </cols>
  <sheetData>
    <row r="1" ht="28" customHeight="1">
      <c r="A1" s="13" t="inlineStr">
        <is>
          <t>PR</t>
        </is>
      </c>
      <c r="B1" s="13" t="inlineStr">
        <is>
          <t>분류</t>
        </is>
      </c>
      <c r="C1" s="13" t="inlineStr">
        <is>
          <t>주체 영향</t>
        </is>
      </c>
      <c r="D1" s="13" t="inlineStr">
        <is>
          <t>도메인</t>
        </is>
      </c>
      <c r="E1" s="13" t="inlineStr">
        <is>
          <t>내용 요약</t>
        </is>
      </c>
      <c r="F1" s="13" t="inlineStr">
        <is>
          <t>상태</t>
        </is>
      </c>
      <c r="G1" s="13" t="inlineStr">
        <is>
          <t>진척율</t>
        </is>
      </c>
      <c r="H1" s="13" t="inlineStr">
        <is>
          <t>담당</t>
        </is>
      </c>
      <c r="I1" s="13" t="inlineStr">
        <is>
          <t>시작일</t>
        </is>
      </c>
      <c r="J1" s="13" t="inlineStr">
        <is>
          <t>목표일</t>
        </is>
      </c>
      <c r="K1" s="13" t="inlineStr">
        <is>
          <t>완료일</t>
        </is>
      </c>
      <c r="L1" s="13" t="inlineStr">
        <is>
          <t>비고</t>
        </is>
      </c>
    </row>
    <row r="2">
      <c r="A2" s="16" t="inlineStr">
        <is>
          <t>P1</t>
        </is>
      </c>
      <c r="B2" s="16" t="inlineStr">
        <is>
          <t>인프라</t>
        </is>
      </c>
      <c r="C2" s="16" t="inlineStr">
        <is>
          <t>사용자</t>
        </is>
      </c>
      <c r="D2" s="16" t="inlineStr">
        <is>
          <t>mobile 디자인 기반</t>
        </is>
      </c>
      <c r="E2" s="16" t="inlineStr">
        <is>
          <t>테마 단일화 + 시스템 폰트 + Pw* 4종</t>
        </is>
      </c>
      <c r="F2" s="17" t="inlineStr">
        <is>
          <t>✅</t>
        </is>
      </c>
      <c r="G2" s="23">
        <f>IF(F2="✅",1,IF(F2="🔄",0.5,IF(F2="◑",0.7,IF(F2="🔎",0.9,0))))</f>
        <v/>
      </c>
      <c r="H2" s="24" t="inlineStr">
        <is>
          <t>2026-05-21</t>
        </is>
      </c>
      <c r="I2" s="25" t="inlineStr">
        <is>
          <t>2026-05-22</t>
        </is>
      </c>
      <c r="J2" s="25" t="inlineStr">
        <is>
          <t>2026-05-23</t>
        </is>
      </c>
      <c r="K2" s="25" t="inlineStr"/>
      <c r="L2" s="16" t="n"/>
    </row>
    <row r="3">
      <c r="A3" s="16" t="inlineStr">
        <is>
          <t>P2</t>
        </is>
      </c>
      <c r="B3" s="16" t="inlineStr">
        <is>
          <t>인프라</t>
        </is>
      </c>
      <c r="C3" s="16" t="inlineStr">
        <is>
          <t>사용자·공통</t>
        </is>
      </c>
      <c r="D3" s="16" t="inlineStr">
        <is>
          <t>mobile i18n</t>
        </is>
      </c>
      <c r="E3" s="16" t="inlineStr">
        <is>
          <t>12언어 + 전 화면 t() + ko 시드 550 + DeepL 스크립트</t>
        </is>
      </c>
      <c r="F3" s="17" t="inlineStr">
        <is>
          <t>✅</t>
        </is>
      </c>
      <c r="G3" s="23">
        <f>IF(F3="✅",1,IF(F3="🔄",0.5,IF(F3="◑",0.7,IF(F3="🔎",0.9,0))))</f>
        <v/>
      </c>
      <c r="H3" s="24" t="inlineStr">
        <is>
          <t>2026-05-21</t>
        </is>
      </c>
      <c r="I3" s="25" t="inlineStr">
        <is>
          <t>2026-05-22</t>
        </is>
      </c>
      <c r="J3" s="25" t="inlineStr">
        <is>
          <t>2026-05-23</t>
        </is>
      </c>
      <c r="K3" s="25" t="inlineStr"/>
      <c r="L3" s="16" t="n"/>
    </row>
    <row r="4">
      <c r="A4" s="16" t="inlineStr">
        <is>
          <t>P3</t>
        </is>
      </c>
      <c r="B4" s="16" t="inlineStr">
        <is>
          <t>인프라</t>
        </is>
      </c>
      <c r="C4" s="16" t="inlineStr">
        <is>
          <t>시설관리자·슈퍼어드민</t>
        </is>
      </c>
      <c r="D4" s="16" t="inlineStr">
        <is>
          <t>웹 디자인 시스템</t>
        </is>
      </c>
      <c r="E4" s="16" t="inlineStr">
        <is>
          <t>alert/confirm 33곳 → useDialog + 색 토큰</t>
        </is>
      </c>
      <c r="F4" s="17" t="inlineStr">
        <is>
          <t>✅</t>
        </is>
      </c>
      <c r="G4" s="23">
        <f>IF(F4="✅",1,IF(F4="🔄",0.5,IF(F4="◑",0.7,IF(F4="🔎",0.9,0))))</f>
        <v/>
      </c>
      <c r="H4" s="24" t="inlineStr">
        <is>
          <t>2026-05-21</t>
        </is>
      </c>
      <c r="I4" s="25" t="inlineStr">
        <is>
          <t>2026-05-22</t>
        </is>
      </c>
      <c r="J4" s="25" t="inlineStr">
        <is>
          <t>2026-05-23</t>
        </is>
      </c>
      <c r="K4" s="25" t="inlineStr"/>
      <c r="L4" s="16" t="n"/>
    </row>
    <row r="5">
      <c r="A5" s="16" t="inlineStr">
        <is>
          <t>P4</t>
        </is>
      </c>
      <c r="B5" s="16" t="inlineStr">
        <is>
          <t>Critical</t>
        </is>
      </c>
      <c r="C5" s="16" t="inlineStr">
        <is>
          <t>시설관리자·공통</t>
        </is>
      </c>
      <c r="D5" s="16" t="inlineStr">
        <is>
          <t>인증 우회 제거</t>
        </is>
      </c>
      <c r="E5" s="16" t="inlineStr">
        <is>
          <t>DEV_AUTO_LOGIN env 게이트 + 실 로그인폼 + /forgot-password 정식</t>
        </is>
      </c>
      <c r="F5" s="17" t="inlineStr">
        <is>
          <t>✅</t>
        </is>
      </c>
      <c r="G5" s="23">
        <f>IF(F5="✅",1,IF(F5="🔄",0.5,IF(F5="◑",0.7,IF(F5="🔎",0.9,0))))</f>
        <v/>
      </c>
      <c r="H5" s="24" t="inlineStr">
        <is>
          <t>2026-05-23</t>
        </is>
      </c>
      <c r="I5" s="25" t="inlineStr">
        <is>
          <t>2026-05-23</t>
        </is>
      </c>
      <c r="J5" s="25" t="inlineStr">
        <is>
          <t>2026-05-23</t>
        </is>
      </c>
      <c r="K5" s="25" t="inlineStr">
        <is>
          <t>⚠ app.py 재시작 필요</t>
        </is>
      </c>
      <c r="L5" s="16" t="n"/>
    </row>
    <row r="6">
      <c r="A6" s="16" t="inlineStr">
        <is>
          <t>P5</t>
        </is>
      </c>
      <c r="B6" s="16" t="inlineStr">
        <is>
          <t>Critical</t>
        </is>
      </c>
      <c r="C6" s="16" t="inlineStr">
        <is>
          <t>시설관리자</t>
        </is>
      </c>
      <c r="D6" s="16" t="inlineStr">
        <is>
          <t>매장·회사정보 실연동</t>
        </is>
      </c>
      <c r="E6" s="16" t="inlineStr">
        <is>
          <t>StoreInfo 실연동 + PwFooter + dead code 정리</t>
        </is>
      </c>
      <c r="F6" s="17" t="inlineStr">
        <is>
          <t>✅</t>
        </is>
      </c>
      <c r="G6" s="23">
        <f>IF(F6="✅",1,IF(F6="🔄",0.5,IF(F6="◑",0.7,IF(F6="🔎",0.9,0))))</f>
        <v/>
      </c>
      <c r="H6" s="24" t="inlineStr">
        <is>
          <t>2026-05-23</t>
        </is>
      </c>
      <c r="I6" s="25" t="inlineStr">
        <is>
          <t>2026-05-23</t>
        </is>
      </c>
      <c r="J6" s="25" t="inlineStr">
        <is>
          <t>2026-05-23</t>
        </is>
      </c>
      <c r="K6" s="25" t="inlineStr"/>
      <c r="L6" s="16" t="n"/>
    </row>
    <row r="7">
      <c r="A7" s="16" t="inlineStr">
        <is>
          <t>P6</t>
        </is>
      </c>
      <c r="B7" s="16" t="inlineStr">
        <is>
          <t>Critical</t>
        </is>
      </c>
      <c r="C7" s="16" t="inlineStr">
        <is>
          <t>시설관리자</t>
        </is>
      </c>
      <c r="D7" s="16" t="inlineStr">
        <is>
          <t>OCR 허위 제거</t>
        </is>
      </c>
      <c r="E7" s="16" t="inlineStr">
        <is>
          <t>가짜 OCR 자동입력 → 정직한 수동입력 UI</t>
        </is>
      </c>
      <c r="F7" s="17" t="inlineStr">
        <is>
          <t>✅</t>
        </is>
      </c>
      <c r="G7" s="23">
        <f>IF(F7="✅",1,IF(F7="🔄",0.5,IF(F7="◑",0.7,IF(F7="🔎",0.9,0))))</f>
        <v/>
      </c>
      <c r="H7" s="24" t="inlineStr">
        <is>
          <t>2026-05-23</t>
        </is>
      </c>
      <c r="I7" s="25" t="inlineStr">
        <is>
          <t>2026-05-23</t>
        </is>
      </c>
      <c r="J7" s="25" t="inlineStr">
        <is>
          <t>2026-05-23</t>
        </is>
      </c>
      <c r="K7" s="25" t="inlineStr"/>
      <c r="L7" s="16" t="n"/>
    </row>
    <row r="8">
      <c r="A8" s="16" t="inlineStr">
        <is>
          <t>P7</t>
        </is>
      </c>
      <c r="B8" s="16" t="inlineStr">
        <is>
          <t>Critical</t>
        </is>
      </c>
      <c r="C8" s="16" t="inlineStr">
        <is>
          <t>시설관리자</t>
        </is>
      </c>
      <c r="D8" s="16" t="inlineStr">
        <is>
          <t>결제·구독 실연동</t>
        </is>
      </c>
      <c r="E8" s="16" t="inlineStr">
        <is>
          <t>카드 localStorage 제거(PCI) + BillingService + 실연동</t>
        </is>
      </c>
      <c r="F8" s="17" t="inlineStr">
        <is>
          <t>✅</t>
        </is>
      </c>
      <c r="G8" s="23">
        <f>IF(F8="✅",1,IF(F8="🔄",0.5,IF(F8="◑",0.7,IF(F8="🔎",0.9,0))))</f>
        <v/>
      </c>
      <c r="H8" s="24" t="inlineStr">
        <is>
          <t>2026-05-23</t>
        </is>
      </c>
      <c r="I8" s="25" t="inlineStr">
        <is>
          <t>2026-05-23</t>
        </is>
      </c>
      <c r="J8" s="25" t="inlineStr">
        <is>
          <t>2026-05-23</t>
        </is>
      </c>
      <c r="K8" s="25" t="inlineStr"/>
      <c r="L8" s="16" t="n"/>
    </row>
    <row r="9">
      <c r="A9" s="16" t="inlineStr">
        <is>
          <t>P8</t>
        </is>
      </c>
      <c r="B9" s="16" t="inlineStr">
        <is>
          <t>Critical</t>
        </is>
      </c>
      <c r="C9" s="16" t="inlineStr">
        <is>
          <t>전체</t>
        </is>
      </c>
      <c r="D9" s="16" t="inlineStr">
        <is>
          <t>채팅 도메인</t>
        </is>
      </c>
      <c r="E9" s="16" t="inlineStr">
        <is>
          <t>provider 실연동 + admin BE + mobile SSE 재연결</t>
        </is>
      </c>
      <c r="F9" s="26" t="inlineStr">
        <is>
          <t>◑</t>
        </is>
      </c>
      <c r="G9" s="23">
        <f>IF(F9="✅",1,IF(F9="🔄",0.5,IF(F9="◑",0.7,IF(F9="🔎",0.9,0))))</f>
        <v/>
      </c>
      <c r="H9" s="24" t="inlineStr">
        <is>
          <t>2026-05-23</t>
        </is>
      </c>
      <c r="I9" s="25" t="inlineStr">
        <is>
          <t>2026-05-23</t>
        </is>
      </c>
      <c r="J9" s="25" t="inlineStr">
        <is>
          <t>2026-05-23</t>
        </is>
      </c>
      <c r="K9" s="25" t="inlineStr">
        <is>
          <t>번역=P8b, ⚠ app.py 재시작</t>
        </is>
      </c>
      <c r="L9" s="16" t="n"/>
    </row>
    <row r="10">
      <c r="A10" s="16" t="inlineStr">
        <is>
          <t>P8b</t>
        </is>
      </c>
      <c r="B10" s="16" t="inlineStr">
        <is>
          <t>Critical</t>
        </is>
      </c>
      <c r="C10" s="16" t="inlineStr">
        <is>
          <t>전체</t>
        </is>
      </c>
      <c r="D10" s="16" t="inlineStr">
        <is>
          <t>채팅 자동 번역</t>
        </is>
      </c>
      <c r="E10" s="16" t="inlineStr">
        <is>
          <t>번역 캐시 + 뷰어별 언어 + translator 연결</t>
        </is>
      </c>
      <c r="F10" s="21" t="inlineStr">
        <is>
          <t>⬜</t>
        </is>
      </c>
      <c r="G10" s="23">
        <f>IF(F10="✅",1,IF(F10="🔄",0.5,IF(F10="◑",0.7,IF(F10="🔎",0.9,0))))</f>
        <v/>
      </c>
      <c r="H10" s="24" t="inlineStr"/>
      <c r="I10" s="25" t="inlineStr">
        <is>
          <t>키 확보 후</t>
        </is>
      </c>
      <c r="J10" s="25" t="inlineStr"/>
      <c r="K10" s="25" t="inlineStr">
        <is>
          <t>DeepL 키 후</t>
        </is>
      </c>
      <c r="L10" s="16" t="n"/>
    </row>
    <row r="11">
      <c r="A11" s="16" t="inlineStr">
        <is>
          <t>P9</t>
        </is>
      </c>
      <c r="B11" s="16" t="inlineStr">
        <is>
          <t>Critical</t>
        </is>
      </c>
      <c r="C11" s="16" t="inlineStr">
        <is>
          <t>사용자·시설관리자</t>
        </is>
      </c>
      <c r="D11" s="16" t="inlineStr">
        <is>
          <t>쿠폰·스탬프 실연동</t>
        </is>
      </c>
      <c r="E11" s="16" t="inlineStr">
        <is>
          <t>mock→실연동 + 사용 silent error</t>
        </is>
      </c>
      <c r="F11" s="21" t="inlineStr">
        <is>
          <t>⬜</t>
        </is>
      </c>
      <c r="G11" s="23">
        <f>IF(F11="✅",1,IF(F11="🔄",0.5,IF(F11="◑",0.7,IF(F11="🔎",0.9,0))))</f>
        <v/>
      </c>
      <c r="H11" s="24" t="inlineStr"/>
      <c r="I11" s="25" t="inlineStr">
        <is>
          <t>2026-06-중</t>
        </is>
      </c>
      <c r="J11" s="25" t="inlineStr"/>
      <c r="K11" s="25" t="inlineStr"/>
      <c r="L11" s="16" t="n"/>
    </row>
    <row r="12">
      <c r="A12" s="16" t="inlineStr">
        <is>
          <t>P10</t>
        </is>
      </c>
      <c r="B12" s="16" t="inlineStr">
        <is>
          <t>Critical</t>
        </is>
      </c>
      <c r="C12" s="16" t="inlineStr">
        <is>
          <t>전체</t>
        </is>
      </c>
      <c r="D12" s="16" t="inlineStr">
        <is>
          <t>알림 도메인</t>
        </is>
      </c>
      <c r="E12" s="16" t="inlineStr">
        <is>
          <t>provider 실연동 + mobile 라우팅</t>
        </is>
      </c>
      <c r="F12" s="21" t="inlineStr">
        <is>
          <t>⬜</t>
        </is>
      </c>
      <c r="G12" s="23">
        <f>IF(F12="✅",1,IF(F12="🔄",0.5,IF(F12="◑",0.7,IF(F12="🔎",0.9,0))))</f>
        <v/>
      </c>
      <c r="H12" s="24" t="inlineStr"/>
      <c r="I12" s="25" t="inlineStr">
        <is>
          <t>2026-06-중</t>
        </is>
      </c>
      <c r="J12" s="25" t="inlineStr"/>
      <c r="K12" s="25" t="inlineStr"/>
      <c r="L12" s="16" t="n"/>
    </row>
    <row r="13">
      <c r="A13" s="16" t="inlineStr">
        <is>
          <t>P11</t>
        </is>
      </c>
      <c r="B13" s="16" t="inlineStr">
        <is>
          <t>Critical</t>
        </is>
      </c>
      <c r="C13" s="16" t="inlineStr">
        <is>
          <t>시설관리자·슈퍼어드민</t>
        </is>
      </c>
      <c r="D13" s="16" t="inlineStr">
        <is>
          <t>대시보드·직원</t>
        </is>
      </c>
      <c r="E13" s="16" t="inlineStr">
        <is>
          <t>Dashboard·StaffManagement 실연동</t>
        </is>
      </c>
      <c r="F13" s="21" t="inlineStr">
        <is>
          <t>⬜</t>
        </is>
      </c>
      <c r="G13" s="23">
        <f>IF(F13="✅",1,IF(F13="🔄",0.5,IF(F13="◑",0.7,IF(F13="🔎",0.9,0))))</f>
        <v/>
      </c>
      <c r="H13" s="24" t="inlineStr"/>
      <c r="I13" s="25" t="inlineStr">
        <is>
          <t>2026-06-중</t>
        </is>
      </c>
      <c r="J13" s="25" t="inlineStr"/>
      <c r="K13" s="25" t="inlineStr"/>
      <c r="L13" s="16" t="n"/>
    </row>
    <row r="14">
      <c r="A14" s="16" t="inlineStr">
        <is>
          <t>P12</t>
        </is>
      </c>
      <c r="B14" s="16" t="inlineStr">
        <is>
          <t>Critical</t>
        </is>
      </c>
      <c r="C14" s="16" t="inlineStr">
        <is>
          <t>사용자</t>
        </is>
      </c>
      <c r="D14" s="16" t="inlineStr">
        <is>
          <t>mobile 심의 직격</t>
        </is>
      </c>
      <c r="E14" s="16" t="inlineStr">
        <is>
          <t>consent placeholder + dev 정보 제거 + 버전 동적화</t>
        </is>
      </c>
      <c r="F14" s="21" t="inlineStr">
        <is>
          <t>⬜</t>
        </is>
      </c>
      <c r="G14" s="23">
        <f>IF(F14="✅",1,IF(F14="🔄",0.5,IF(F14="◑",0.7,IF(F14="🔎",0.9,0))))</f>
        <v/>
      </c>
      <c r="H14" s="24" t="inlineStr"/>
      <c r="I14" s="25" t="inlineStr">
        <is>
          <t>2026-06-중</t>
        </is>
      </c>
      <c r="J14" s="25" t="inlineStr"/>
      <c r="K14" s="25" t="inlineStr"/>
      <c r="L14" s="16" t="n"/>
    </row>
    <row r="15">
      <c r="A15" s="16" t="inlineStr">
        <is>
          <t>P13</t>
        </is>
      </c>
      <c r="B15" s="16" t="inlineStr">
        <is>
          <t>Critical</t>
        </is>
      </c>
      <c r="C15" s="16" t="inlineStr">
        <is>
          <t>전체</t>
        </is>
      </c>
      <c r="D15" s="16" t="inlineStr">
        <is>
          <t>약관 3종</t>
        </is>
      </c>
      <c r="E15" s="16" t="inlineStr">
        <is>
          <t>환불·청소년·쿠키 정책</t>
        </is>
      </c>
      <c r="F15" s="21" t="inlineStr">
        <is>
          <t>⬜</t>
        </is>
      </c>
      <c r="G15" s="23">
        <f>IF(F15="✅",1,IF(F15="🔄",0.5,IF(F15="◑",0.7,IF(F15="🔎",0.9,0))))</f>
        <v/>
      </c>
      <c r="H15" s="24" t="inlineStr"/>
      <c r="I15" s="25" t="inlineStr">
        <is>
          <t>2026-06-중</t>
        </is>
      </c>
      <c r="J15" s="25" t="inlineStr"/>
      <c r="K15" s="25" t="inlineStr"/>
      <c r="L15" s="16" t="n"/>
    </row>
    <row r="16">
      <c r="A16" s="16" t="inlineStr">
        <is>
          <t>P14</t>
        </is>
      </c>
      <c r="B16" s="16" t="inlineStr">
        <is>
          <t>WiFi 로밍 B</t>
        </is>
      </c>
      <c r="C16" s="16" t="inlineStr">
        <is>
          <t>공통</t>
        </is>
      </c>
      <c r="D16" s="16" t="inlineStr">
        <is>
          <t>WiFi 데이터 모델</t>
        </is>
      </c>
      <c r="E16" s="16" t="inlineStr">
        <is>
          <t>wifi_profiles 확장 + 신규 테이블</t>
        </is>
      </c>
      <c r="F16" s="21" t="inlineStr">
        <is>
          <t>⬜</t>
        </is>
      </c>
      <c r="G16" s="23">
        <f>IF(F16="✅",1,IF(F16="🔄",0.5,IF(F16="◑",0.7,IF(F16="🔎",0.9,0))))</f>
        <v/>
      </c>
      <c r="H16" s="24" t="inlineStr"/>
      <c r="I16" s="25" t="inlineStr">
        <is>
          <t>2026-06-말~7월초</t>
        </is>
      </c>
      <c r="J16" s="25" t="inlineStr"/>
      <c r="K16" s="25" t="inlineStr"/>
      <c r="L16" s="16" t="n"/>
    </row>
    <row r="17">
      <c r="A17" s="16" t="inlineStr">
        <is>
          <t>P15</t>
        </is>
      </c>
      <c r="B17" s="16" t="inlineStr">
        <is>
          <t>WiFi 로밍 B</t>
        </is>
      </c>
      <c r="C17" s="16" t="inlineStr">
        <is>
          <t>시설관리자·슈퍼어드민</t>
        </is>
      </c>
      <c r="D17" s="16" t="inlineStr">
        <is>
          <t>WiFi 등록·연동</t>
        </is>
      </c>
      <c r="E17" s="16" t="inlineStr">
        <is>
          <t>handshake 묶음 + admin 등록 + provider WifiSettings</t>
        </is>
      </c>
      <c r="F17" s="21" t="inlineStr">
        <is>
          <t>⬜</t>
        </is>
      </c>
      <c r="G17" s="23">
        <f>IF(F17="✅",1,IF(F17="🔄",0.5,IF(F17="◑",0.7,IF(F17="🔎",0.9,0))))</f>
        <v/>
      </c>
      <c r="H17" s="24" t="inlineStr"/>
      <c r="I17" s="25" t="inlineStr">
        <is>
          <t>2026-07-초</t>
        </is>
      </c>
      <c r="J17" s="25" t="inlineStr"/>
      <c r="K17" s="25" t="inlineStr"/>
      <c r="L17" s="16" t="n"/>
    </row>
    <row r="18">
      <c r="A18" s="16" t="inlineStr">
        <is>
          <t>P16</t>
        </is>
      </c>
      <c r="B18" s="16" t="inlineStr">
        <is>
          <t>WiFi 로밍 B</t>
        </is>
      </c>
      <c r="C18" s="16" t="inlineStr">
        <is>
          <t>사용자</t>
        </is>
      </c>
      <c r="D18" s="16" t="inlineStr">
        <is>
          <t>mobile WiFi 클라이언트</t>
        </is>
      </c>
      <c r="E18" s="16" t="inlineStr">
        <is>
          <t>비콘→WiFi 묶음 + BSSID 검증</t>
        </is>
      </c>
      <c r="F18" s="21" t="inlineStr">
        <is>
          <t>⬜</t>
        </is>
      </c>
      <c r="G18" s="23">
        <f>IF(F18="✅",1,IF(F18="🔄",0.5,IF(F18="◑",0.7,IF(F18="🔎",0.9,0))))</f>
        <v/>
      </c>
      <c r="H18" s="24" t="inlineStr"/>
      <c r="I18" s="25" t="inlineStr">
        <is>
          <t>2026-07-초</t>
        </is>
      </c>
      <c r="J18" s="25" t="inlineStr"/>
      <c r="K18" s="25" t="inlineStr"/>
      <c r="L18" s="16" t="n"/>
    </row>
    <row r="19">
      <c r="A19" s="16" t="inlineStr">
        <is>
          <t>P17</t>
        </is>
      </c>
      <c r="B19" s="16" t="inlineStr">
        <is>
          <t>WiFi 로밍 B</t>
        </is>
      </c>
      <c r="C19" s="16" t="inlineStr">
        <is>
          <t>사용자</t>
        </is>
      </c>
      <c r="D19" s="16" t="inlineStr">
        <is>
          <t>.mobileconfig 다건</t>
        </is>
      </c>
      <c r="E19" s="16" t="inlineStr">
        <is>
          <t>다건 설치</t>
        </is>
      </c>
      <c r="F19" s="21" t="inlineStr">
        <is>
          <t>⬜</t>
        </is>
      </c>
      <c r="G19" s="23">
        <f>IF(F19="✅",1,IF(F19="🔄",0.5,IF(F19="◑",0.7,IF(F19="🔎",0.9,0))))</f>
        <v/>
      </c>
      <c r="H19" s="24" t="inlineStr"/>
      <c r="I19" s="25" t="inlineStr">
        <is>
          <t>2026-07-중</t>
        </is>
      </c>
      <c r="J19" s="25" t="inlineStr"/>
      <c r="K19" s="25" t="inlineStr">
        <is>
          <t>서명은 인증서 후</t>
        </is>
      </c>
      <c r="L19" s="16" t="n"/>
    </row>
    <row r="20">
      <c r="A20" s="16" t="inlineStr">
        <is>
          <t>P18</t>
        </is>
      </c>
      <c r="B20" s="16" t="inlineStr">
        <is>
          <t>WiFi 로밍 B</t>
        </is>
      </c>
      <c r="C20" s="16" t="inlineStr">
        <is>
          <t>시설관리자·사용자</t>
        </is>
      </c>
      <c r="D20" s="16" t="inlineStr">
        <is>
          <t>credential_mode managed</t>
        </is>
      </c>
      <c r="E20" s="16" t="inlineStr">
        <is>
          <t>비번 교체 리마인드 + 자동 전파</t>
        </is>
      </c>
      <c r="F20" s="21" t="inlineStr">
        <is>
          <t>⬜</t>
        </is>
      </c>
      <c r="G20" s="23">
        <f>IF(F20="✅",1,IF(F20="🔄",0.5,IF(F20="◑",0.7,IF(F20="🔎",0.9,0))))</f>
        <v/>
      </c>
      <c r="H20" s="24" t="inlineStr"/>
      <c r="I20" s="25" t="inlineStr">
        <is>
          <t>2026-07-중</t>
        </is>
      </c>
      <c r="J20" s="25" t="inlineStr"/>
      <c r="K20" s="25" t="inlineStr">
        <is>
          <t>v1 flag 비공개</t>
        </is>
      </c>
      <c r="L20" s="16" t="n"/>
    </row>
    <row r="21">
      <c r="A21" s="16" t="inlineStr">
        <is>
          <t>P19</t>
        </is>
      </c>
      <c r="B21" s="16" t="inlineStr">
        <is>
          <t>WiFi 로밍 B</t>
        </is>
      </c>
      <c r="C21" s="16" t="inlineStr">
        <is>
          <t>슈퍼어드민·시설관리자</t>
        </is>
      </c>
      <c r="D21" s="16" t="inlineStr">
        <is>
          <t>units/grant 관리</t>
        </is>
      </c>
      <c r="E21" s="16" t="inlineStr">
        <is>
          <t>호실·자리 시간제 권한</t>
        </is>
      </c>
      <c r="F21" s="21" t="inlineStr">
        <is>
          <t>⬜</t>
        </is>
      </c>
      <c r="G21" s="23">
        <f>IF(F21="✅",1,IF(F21="🔄",0.5,IF(F21="◑",0.7,IF(F21="🔎",0.9,0))))</f>
        <v/>
      </c>
      <c r="H21" s="24" t="inlineStr"/>
      <c r="I21" s="25" t="inlineStr">
        <is>
          <t>2026-07-중</t>
        </is>
      </c>
      <c r="J21" s="25" t="inlineStr"/>
      <c r="K21" s="25" t="inlineStr">
        <is>
          <t>v1 flag 비공개</t>
        </is>
      </c>
      <c r="L21" s="16" t="n"/>
    </row>
    <row r="22">
      <c r="A22" s="16" t="inlineStr">
        <is>
          <t>P20</t>
        </is>
      </c>
      <c r="B22" s="16" t="inlineStr">
        <is>
          <t>심의 마무리</t>
        </is>
      </c>
      <c r="C22" s="16" t="inlineStr">
        <is>
          <t>슈퍼어드민·사용자</t>
        </is>
      </c>
      <c r="D22" s="16" t="inlineStr">
        <is>
          <t>앱 버전관리</t>
        </is>
      </c>
      <c r="E22" s="16" t="inlineStr">
        <is>
          <t>admin app-versions UI + mobile 게이트</t>
        </is>
      </c>
      <c r="F22" s="21" t="inlineStr">
        <is>
          <t>⬜</t>
        </is>
      </c>
      <c r="G22" s="23">
        <f>IF(F22="✅",1,IF(F22="🔄",0.5,IF(F22="◑",0.7,IF(F22="🔎",0.9,0))))</f>
        <v/>
      </c>
      <c r="H22" s="24" t="inlineStr"/>
      <c r="I22" s="25" t="inlineStr">
        <is>
          <t>2026-07-중</t>
        </is>
      </c>
      <c r="J22" s="25" t="inlineStr"/>
      <c r="K22" s="25" t="inlineStr"/>
      <c r="L22" s="16" t="n"/>
    </row>
    <row r="23">
      <c r="A23" s="16" t="inlineStr">
        <is>
          <t>P21</t>
        </is>
      </c>
      <c r="B23" s="16" t="inlineStr">
        <is>
          <t>심의 마무리</t>
        </is>
      </c>
      <c r="C23" s="16" t="inlineStr">
        <is>
          <t>인프라</t>
        </is>
      </c>
      <c r="D23" s="16" t="inlineStr">
        <is>
          <t>심의 메타 자산</t>
        </is>
      </c>
      <c r="E23" s="16" t="inlineStr">
        <is>
          <t>PrivacyInfo + Bundle ID + Photo Picker</t>
        </is>
      </c>
      <c r="F23" s="21" t="inlineStr">
        <is>
          <t>⬜</t>
        </is>
      </c>
      <c r="G23" s="23">
        <f>IF(F23="✅",1,IF(F23="🔄",0.5,IF(F23="◑",0.7,IF(F23="🔎",0.9,0))))</f>
        <v/>
      </c>
      <c r="H23" s="24" t="inlineStr"/>
      <c r="I23" s="25" t="inlineStr">
        <is>
          <t>2026-07-중</t>
        </is>
      </c>
      <c r="J23" s="25" t="inlineStr"/>
      <c r="K23" s="25" t="inlineStr"/>
      <c r="L23" s="16" t="n"/>
    </row>
    <row r="24">
      <c r="A24" s="16" t="inlineStr">
        <is>
          <t>P22</t>
        </is>
      </c>
      <c r="B24" s="16" t="inlineStr">
        <is>
          <t>회원 QR</t>
        </is>
      </c>
      <c r="C24" s="16" t="inlineStr">
        <is>
          <t>사용자·시설관리자</t>
        </is>
      </c>
      <c r="D24" s="16" t="inlineStr">
        <is>
          <t>쿠폰·스탬프 회원 QR</t>
        </is>
      </c>
      <c r="E24" s="16" t="inlineStr">
        <is>
          <t>회원 QR + provider 스캔/코드입력</t>
        </is>
      </c>
      <c r="F24" s="21" t="inlineStr">
        <is>
          <t>⬜</t>
        </is>
      </c>
      <c r="G24" s="23">
        <f>IF(F24="✅",1,IF(F24="🔄",0.5,IF(F24="◑",0.7,IF(F24="🔎",0.9,0))))</f>
        <v/>
      </c>
      <c r="H24" s="24" t="inlineStr"/>
      <c r="I24" s="25" t="inlineStr">
        <is>
          <t>2026-07-초~중</t>
        </is>
      </c>
      <c r="J24" s="25" t="inlineStr"/>
      <c r="K24" s="25" t="inlineStr"/>
      <c r="L24" s="16" t="n"/>
    </row>
  </sheetData>
  <dataValidations count="1">
    <dataValidation sqref="F2:F24" showDropDown="0" showInputMessage="0" showErrorMessage="0" allowBlank="1" type="list">
      <formula1>"⬜,🔄,🔎,◑,✅"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0" customWidth="1" min="2" max="2"/>
    <col width="16" customWidth="1" min="3" max="3"/>
    <col width="18" customWidth="1" min="4" max="4"/>
    <col width="36" customWidth="1" min="5" max="5"/>
  </cols>
  <sheetData>
    <row r="1" ht="28" customHeight="1">
      <c r="A1" s="13" t="inlineStr">
        <is>
          <t>단계</t>
        </is>
      </c>
      <c r="B1" s="13" t="inlineStr">
        <is>
          <t>내용</t>
        </is>
      </c>
      <c r="C1" s="13" t="inlineStr">
        <is>
          <t>예상 기간</t>
        </is>
      </c>
      <c r="D1" s="13" t="inlineStr">
        <is>
          <t>누적</t>
        </is>
      </c>
      <c r="E1" s="13" t="inlineStr">
        <is>
          <t>비고</t>
        </is>
      </c>
    </row>
    <row r="2">
      <c r="A2" s="16" t="inlineStr">
        <is>
          <t>이전 작업 (~Phase 0)</t>
        </is>
      </c>
      <c r="B2" s="16" t="inlineStr">
        <is>
          <t>PR #1~#51 + 디자인 통합</t>
        </is>
      </c>
      <c r="C2" s="16" t="inlineStr">
        <is>
          <t>~수개월</t>
        </is>
      </c>
      <c r="D2" s="16" t="inlineStr">
        <is>
          <t>2026-05-21</t>
        </is>
      </c>
      <c r="E2" s="16" t="inlineStr">
        <is>
          <t>완료</t>
        </is>
      </c>
    </row>
    <row r="3">
      <c r="A3" s="16" t="inlineStr">
        <is>
          <t>Phase 0 전수 감사</t>
        </is>
      </c>
      <c r="B3" s="16" t="inlineStr">
        <is>
          <t>갭 14 Critical + High 발굴</t>
        </is>
      </c>
      <c r="C3" s="16" t="inlineStr">
        <is>
          <t>~1일</t>
        </is>
      </c>
      <c r="D3" s="16" t="inlineStr">
        <is>
          <t>2026-05-21</t>
        </is>
      </c>
      <c r="E3" s="16" t="inlineStr">
        <is>
          <t>완료</t>
        </is>
      </c>
    </row>
    <row r="4">
      <c r="A4" s="16" t="inlineStr">
        <is>
          <t>Phase 1 인프라</t>
        </is>
      </c>
      <c r="B4" s="16" t="inlineStr">
        <is>
          <t>P1~P3</t>
        </is>
      </c>
      <c r="C4" s="16" t="inlineStr">
        <is>
          <t>~4일</t>
        </is>
      </c>
      <c r="D4" s="16" t="inlineStr">
        <is>
          <t>2026-05-22</t>
        </is>
      </c>
      <c r="E4" s="16" t="inlineStr">
        <is>
          <t>완료</t>
        </is>
      </c>
    </row>
    <row r="5">
      <c r="A5" s="16" t="inlineStr">
        <is>
          <t>Phase 1 Critical</t>
        </is>
      </c>
      <c r="B5" s="16" t="inlineStr">
        <is>
          <t>P4~P13</t>
        </is>
      </c>
      <c r="C5" s="16" t="inlineStr">
        <is>
          <t>~2주</t>
        </is>
      </c>
      <c r="D5" s="16" t="inlineStr">
        <is>
          <t>2026-06-중</t>
        </is>
      </c>
      <c r="E5" s="16" t="inlineStr">
        <is>
          <t>P4~P8 완료</t>
        </is>
      </c>
    </row>
    <row r="6">
      <c r="A6" s="16" t="inlineStr">
        <is>
          <t>Phase 1 WiFi 로밍 B</t>
        </is>
      </c>
      <c r="B6" s="16" t="inlineStr">
        <is>
          <t>P14~P19</t>
        </is>
      </c>
      <c r="C6" s="16" t="inlineStr">
        <is>
          <t>~2.5~3주</t>
        </is>
      </c>
      <c r="D6" s="16" t="inlineStr">
        <is>
          <t>2026-07-초~중</t>
        </is>
      </c>
      <c r="E6" s="16" t="inlineStr">
        <is>
          <t>flag 비공개</t>
        </is>
      </c>
    </row>
    <row r="7">
      <c r="A7" s="16" t="inlineStr">
        <is>
          <t>Phase 1 회원 QR</t>
        </is>
      </c>
      <c r="B7" s="16" t="inlineStr">
        <is>
          <t>P22 (P9 이후 병행)</t>
        </is>
      </c>
      <c r="C7" s="16" t="inlineStr">
        <is>
          <t>~1주</t>
        </is>
      </c>
      <c r="D7" s="16" t="inlineStr">
        <is>
          <t>2026-07-초~중</t>
        </is>
      </c>
      <c r="E7" s="16" t="inlineStr"/>
    </row>
    <row r="8">
      <c r="A8" s="16" t="inlineStr">
        <is>
          <t>Phase 1 심의 마무리</t>
        </is>
      </c>
      <c r="B8" s="16" t="inlineStr">
        <is>
          <t>P20~P21</t>
        </is>
      </c>
      <c r="C8" s="16" t="inlineStr">
        <is>
          <t>~3일</t>
        </is>
      </c>
      <c r="D8" s="16" t="inlineStr">
        <is>
          <t>2026-07-중</t>
        </is>
      </c>
      <c r="E8" s="16" t="inlineStr"/>
    </row>
    <row r="9">
      <c r="A9" s="16" t="inlineStr">
        <is>
          <t>Phase 1.5 — 개발환경 구축</t>
        </is>
      </c>
      <c r="B9" s="16" t="inlineStr">
        <is>
          <t>국내 클라우드 서버 + Postgres + 환경변수 키 주입</t>
        </is>
      </c>
      <c r="C9" s="16" t="inlineStr">
        <is>
          <t>~3일</t>
        </is>
      </c>
      <c r="D9" s="16" t="inlineStr">
        <is>
          <t>2026-07-중</t>
        </is>
      </c>
      <c r="E9" s="16" t="inlineStr">
        <is>
          <t>신규 — 운영 반영 전</t>
        </is>
      </c>
    </row>
    <row r="10">
      <c r="A10" s="16" t="inlineStr">
        <is>
          <t>Phase 1.5 — 통합 테스트</t>
        </is>
      </c>
      <c r="B10" s="16" t="inlineStr">
        <is>
          <t>실 서버 + 실 키 + 3콘솔 + mobile 실기기 walk-through</t>
        </is>
      </c>
      <c r="C10" s="16" t="inlineStr">
        <is>
          <t>~4일</t>
        </is>
      </c>
      <c r="D10" s="16" t="inlineStr">
        <is>
          <t>2026-07-중~하순</t>
        </is>
      </c>
      <c r="E10" s="16" t="inlineStr">
        <is>
          <t>신규</t>
        </is>
      </c>
    </row>
    <row r="11">
      <c r="A11" s="16" t="inlineStr">
        <is>
          <t>Phase 2~4 페르소나 검증</t>
        </is>
      </c>
      <c r="B11" s="16" t="inlineStr">
        <is>
          <t>6 페르소나 시나리오</t>
        </is>
      </c>
      <c r="C11" s="16" t="inlineStr">
        <is>
          <t>~1주</t>
        </is>
      </c>
      <c r="D11" s="16" t="inlineStr">
        <is>
          <t>2026-07-하순</t>
        </is>
      </c>
      <c r="E11" s="16" t="inlineStr"/>
    </row>
    <row r="12">
      <c r="A12" s="16" t="inlineStr">
        <is>
          <t>Phase 5 제출</t>
        </is>
      </c>
      <c r="B12" s="16" t="inlineStr">
        <is>
          <t>빌드 + 스토어 메타데이터</t>
        </is>
      </c>
      <c r="C12" s="16" t="inlineStr">
        <is>
          <t>며칠</t>
        </is>
      </c>
      <c r="D12" s="16" t="inlineStr">
        <is>
          <t>2026-07-하순</t>
        </is>
      </c>
      <c r="E12" s="16" t="inlineStr"/>
    </row>
    <row r="13">
      <c r="A13" s="16" t="inlineStr">
        <is>
          <t>출시</t>
        </is>
      </c>
      <c r="B13" s="16" t="inlineStr">
        <is>
          <t>앱스토어/Play 공개</t>
        </is>
      </c>
      <c r="C13" s="16" t="inlineStr">
        <is>
          <t>—</t>
        </is>
      </c>
      <c r="D13" s="16" t="inlineStr">
        <is>
          <t>2026-07-하순~8월 초</t>
        </is>
      </c>
      <c r="E13" s="16" t="inlineStr"/>
    </row>
    <row r="14">
      <c r="A14" s="16" t="inlineStr">
        <is>
          <t>외부 서비스 신청</t>
        </is>
      </c>
      <c r="B14" s="16" t="inlineStr">
        <is>
          <t>법인카드 수취 후 일괄</t>
        </is>
      </c>
      <c r="C14" s="16" t="inlineStr">
        <is>
          <t>~1주 (심사 1~2주)</t>
        </is>
      </c>
      <c r="D14" s="16" t="inlineStr">
        <is>
          <t>2026-06-02 주</t>
        </is>
      </c>
      <c r="E14" s="16" t="inlineStr">
        <is>
          <t>병행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2026-05-23T03:39:38Z</dcterms:created>
  <dcterms:modified xmlns:dcterms="http://purl.org/dc/terms/" xmlns:xsi="http://www.w3.org/2001/XMLSchema-instance" xsi:type="dcterms:W3CDTF">2026-05-23T03:39:38Z</dcterms:modified>
</cp:coreProperties>
</file>