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합계" sheetId="1" state="visible" r:id="rId1"/>
    <sheet xmlns:r="http://schemas.openxmlformats.org/officeDocument/2006/relationships" name="서비스 신청 체크리스트" sheetId="2" state="visible" r:id="rId2"/>
    <sheet xmlns:r="http://schemas.openxmlformats.org/officeDocument/2006/relationships" name="월별 비용 시나리오" sheetId="3" state="visible" r:id="rId3"/>
    <sheet xmlns:r="http://schemas.openxmlformats.org/officeDocument/2006/relationships" name="2026년 월별" sheetId="4" state="visible" r:id="rId4"/>
    <sheet xmlns:r="http://schemas.openxmlformats.org/officeDocument/2006/relationships" name="2027년 월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₩#,##0;(₩#,##0);-"/>
    <numFmt numFmtId="165" formatCode="yyyy-mm-dd"/>
  </numFmts>
  <fonts count="12">
    <font>
      <name val="Calibri"/>
      <family val="2"/>
      <color theme="1"/>
      <sz val="11"/>
      <scheme val="minor"/>
    </font>
    <font>
      <name val="맑은 고딕"/>
      <color rgb="000000FF"/>
    </font>
    <font>
      <name val="맑은 고딕"/>
      <b val="1"/>
    </font>
    <font>
      <name val="맑은 고딕"/>
      <b val="1"/>
      <color rgb="00FFFFFF"/>
      <sz val="11"/>
    </font>
    <font>
      <name val="맑은 고딕"/>
      <b val="1"/>
      <color rgb="001F4E78"/>
      <sz val="14"/>
    </font>
    <font>
      <name val="맑은 고딕"/>
      <i val="1"/>
      <color rgb="00808080"/>
    </font>
    <font>
      <name val="맑은 고딕"/>
      <color rgb="00008000"/>
    </font>
    <font>
      <name val="맑은 고딕"/>
      <i val="1"/>
    </font>
    <font>
      <name val="맑은 고딕"/>
    </font>
    <font>
      <name val="맑은 고딕"/>
      <b val="1"/>
      <color rgb="001F4E78"/>
    </font>
    <font>
      <name val="맑은 고딕"/>
      <color rgb="00505050"/>
    </font>
    <font>
      <name val="맑은 고딕"/>
      <color theme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4E78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11" fillId="0" borderId="0" pivotButton="0" quotePrefix="0" xfId="0"/>
    <xf numFmtId="0" fontId="3" fillId="5" borderId="1" applyAlignment="1" pivotButton="0" quotePrefix="0" xfId="0">
      <alignment horizontal="center"/>
    </xf>
    <xf numFmtId="0" fontId="8" fillId="0" borderId="1" pivotButton="0" quotePrefix="0" xfId="0"/>
    <xf numFmtId="164" fontId="6" fillId="0" borderId="1" pivotButton="0" quotePrefix="0" xfId="0"/>
    <xf numFmtId="164" fontId="8" fillId="0" borderId="1" pivotButton="0" quotePrefix="0" xfId="0"/>
    <xf numFmtId="0" fontId="2" fillId="0" borderId="1" pivotButton="0" quotePrefix="0" xfId="0"/>
    <xf numFmtId="164" fontId="2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11" fillId="2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4" fontId="2" fillId="6" borderId="1" applyAlignment="1" pivotButton="0" quotePrefix="0" xfId="0">
      <alignment vertical="top" wrapText="1"/>
    </xf>
    <xf numFmtId="0" fontId="5" fillId="0" borderId="0" pivotButton="0" quotePrefix="0" xfId="0"/>
    <xf numFmtId="164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56" customWidth="1" min="4" max="4"/>
  </cols>
  <sheetData>
    <row r="1">
      <c r="A1" s="1" t="inlineStr">
        <is>
          <t>PathWave 운영비 — 연간 합계 (2026·2027)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연도</t>
        </is>
      </c>
      <c r="B3" s="3" t="inlineStr">
        <is>
          <t>연 합계 (₩)</t>
        </is>
      </c>
      <c r="C3" s="3" t="inlineStr">
        <is>
          <t>월 평균 (₩)</t>
        </is>
      </c>
      <c r="D3" s="3" t="inlineStr">
        <is>
          <t>비고</t>
        </is>
      </c>
    </row>
    <row r="4">
      <c r="A4" s="4" t="inlineStr">
        <is>
          <t>2026</t>
        </is>
      </c>
      <c r="B4" s="5">
        <f>'2026년 월별'!N18</f>
        <v/>
      </c>
      <c r="C4" s="6">
        <f>B4/5</f>
        <v/>
      </c>
      <c r="D4" s="4" t="inlineStr">
        <is>
          <t>8~12월 (5개월) 실 운영 + 1회성(Apple/Play/Mac mini) 포함</t>
        </is>
      </c>
    </row>
    <row r="5">
      <c r="A5" s="4" t="inlineStr">
        <is>
          <t>2027</t>
        </is>
      </c>
      <c r="B5" s="5">
        <f>'2027년 월별'!N18</f>
        <v/>
      </c>
      <c r="C5" s="6">
        <f>B5/12</f>
        <v/>
      </c>
      <c r="D5" s="4" t="inlineStr">
        <is>
          <t>12개월 — Stage 1→2 점진 성장 + Apple 갱신</t>
        </is>
      </c>
    </row>
    <row r="6">
      <c r="A6" s="7" t="inlineStr">
        <is>
          <t>2년 합계</t>
        </is>
      </c>
      <c r="B6" s="8">
        <f>SUM(B4:B5)</f>
        <v/>
      </c>
      <c r="C6" s="6" t="inlineStr">
        <is>
          <t>—</t>
        </is>
      </c>
      <c r="D6" s="4" t="inlineStr"/>
    </row>
    <row r="7">
      <c r="A7" s="9" t="inlineStr">
        <is>
          <t>주요 가정</t>
        </is>
      </c>
      <c r="B7" s="2" t="n"/>
      <c r="C7" s="2" t="n"/>
      <c r="D7" s="2" t="n"/>
    </row>
    <row r="8">
      <c r="A8" s="10" t="inlineStr">
        <is>
          <t>· 환율: USD 1 = ₩1,300 (변동 시 가정 갱신)</t>
        </is>
      </c>
      <c r="B8" s="2" t="n"/>
      <c r="C8" s="2" t="n"/>
      <c r="D8" s="2" t="n"/>
    </row>
    <row r="9">
      <c r="A9" s="10" t="inlineStr">
        <is>
          <t>· MAU 성장: 2026 8~12월 0~1K → 2027 Q4까지 10K+ (보수적 추정)</t>
        </is>
      </c>
      <c r="B9" s="2" t="n"/>
      <c r="C9" s="2" t="n"/>
      <c r="D9" s="2" t="n"/>
    </row>
    <row r="10">
      <c r="A10" s="10" t="inlineStr">
        <is>
          <t>· 토스페이먼츠 수수료(2.9%+33원)는 결제 발생 시 매출 차감 — 운영비에 미포함</t>
        </is>
      </c>
      <c r="B10" s="2" t="n"/>
      <c r="C10" s="2" t="n"/>
      <c r="D10" s="2" t="n"/>
    </row>
    <row r="11">
      <c r="A11" s="10" t="inlineStr">
        <is>
          <t>· Mac mini 옵션 80만원 — 2026년 7월(출시 직전), 자본 여유 시</t>
        </is>
      </c>
      <c r="B11" s="2" t="n"/>
      <c r="C11" s="2" t="n"/>
      <c r="D11" s="2" t="n"/>
    </row>
    <row r="12">
      <c r="A12" s="10" t="inlineStr">
        <is>
          <t>· 자동화 도구(Stage 2~3 — Channeltalk/ChatGPT/Make/Buffer 등)는 별도 — 도입 시 추가</t>
        </is>
      </c>
      <c r="B12" s="2" t="n"/>
      <c r="C12" s="2" t="n"/>
      <c r="D12" s="2" t="n"/>
    </row>
    <row r="13">
      <c r="A13" s="10" t="inlineStr">
        <is>
          <t>· 모든 외부 서비스 키는 법인카드 발급 후 법인 명의로 가입</t>
        </is>
      </c>
      <c r="B13" s="2" t="n"/>
      <c r="C13" s="2" t="n"/>
      <c r="D13" s="2" t="n"/>
    </row>
    <row r="14">
      <c r="A14" s="10" t="inlineStr">
        <is>
          <t>· 신청 체크리스트의 신청 상태가 "활성"으로 바뀐 항목만 실제 비용 발생</t>
        </is>
      </c>
      <c r="B14" s="2" t="n"/>
      <c r="C14" s="2" t="n"/>
      <c r="D14" s="2" t="n"/>
    </row>
    <row r="15">
      <c r="A15" s="9" t="inlineStr">
        <is>
          <t>사용 방법</t>
        </is>
      </c>
      <c r="B15" s="2" t="n"/>
      <c r="C15" s="2" t="n"/>
      <c r="D15" s="2" t="n"/>
    </row>
    <row r="16">
      <c r="A16" s="10" t="inlineStr">
        <is>
          <t>① "서비스 신청 체크리스트" 시트의 I열(신청 상태)을 대기→신청중→검수중→활성 으로 갱신</t>
        </is>
      </c>
      <c r="B16" s="2" t="n"/>
      <c r="C16" s="2" t="n"/>
      <c r="D16" s="2" t="n"/>
    </row>
    <row r="17">
      <c r="A17" s="10" t="inlineStr">
        <is>
          <t>② J/K열(신청일·활성일)을 입력해 신청 진행을 추적</t>
        </is>
      </c>
      <c r="B17" s="2" t="n"/>
      <c r="C17" s="2" t="n"/>
      <c r="D17" s="2" t="n"/>
    </row>
    <row r="18">
      <c r="A18" s="10" t="inlineStr">
        <is>
          <t>③ 우선순위 1(빨강) → 2(노랑) → 3(회색) 순으로 신청 진행 권장</t>
        </is>
      </c>
      <c r="B18" s="2" t="n"/>
      <c r="C18" s="2" t="n"/>
      <c r="D18" s="2" t="n"/>
    </row>
    <row r="19">
      <c r="A19" s="10" t="inlineStr">
        <is>
          <t>④ "월별 비용 시나리오" / "2026년·2027년 월별" / "연간 합계" 시트로 비용 예측</t>
        </is>
      </c>
      <c r="B19" s="2" t="n"/>
      <c r="C19" s="2" t="n"/>
      <c r="D19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2" customWidth="1" min="4" max="4"/>
    <col width="11" customWidth="1" min="5" max="5"/>
    <col width="2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38" customWidth="1" min="12" max="12"/>
    <col width="28" customWidth="1" min="13" max="13"/>
  </cols>
  <sheetData>
    <row r="1" ht="36" customHeight="1">
      <c r="A1" s="11" t="inlineStr">
        <is>
          <t>우선순위</t>
        </is>
      </c>
      <c r="B1" s="11" t="inlineStr">
        <is>
          <t>카테고리</t>
        </is>
      </c>
      <c r="C1" s="11" t="inlineStr">
        <is>
          <t>서비스</t>
        </is>
      </c>
      <c r="D1" s="11" t="inlineStr">
        <is>
          <t>제공사</t>
        </is>
      </c>
      <c r="E1" s="11" t="inlineStr">
        <is>
          <t>필수/선택</t>
        </is>
      </c>
      <c r="F1" s="11" t="inlineStr">
        <is>
          <t>청구 방식</t>
        </is>
      </c>
      <c r="G1" s="11" t="inlineStr">
        <is>
          <t>월 추정 (₩)</t>
        </is>
      </c>
      <c r="H1" s="11" t="inlineStr">
        <is>
          <t>가입 계정</t>
        </is>
      </c>
      <c r="I1" s="11" t="inlineStr">
        <is>
          <t>신청 상태</t>
        </is>
      </c>
      <c r="J1" s="11" t="inlineStr">
        <is>
          <t>신청일</t>
        </is>
      </c>
      <c r="K1" s="11" t="inlineStr">
        <is>
          <t>활성일</t>
        </is>
      </c>
      <c r="L1" s="11" t="inlineStr">
        <is>
          <t>환경변수 / 통합 키</t>
        </is>
      </c>
      <c r="M1" s="11" t="inlineStr">
        <is>
          <t>비고</t>
        </is>
      </c>
    </row>
    <row r="2">
      <c r="A2" s="12" t="n">
        <v>1</v>
      </c>
      <c r="B2" s="13" t="inlineStr">
        <is>
          <t>결제</t>
        </is>
      </c>
      <c r="C2" s="13" t="inlineStr">
        <is>
          <t>토스페이먼츠</t>
        </is>
      </c>
      <c r="D2" s="13" t="inlineStr">
        <is>
          <t>Toss Payments</t>
        </is>
      </c>
      <c r="E2" s="13" t="inlineStr">
        <is>
          <t>필수</t>
        </is>
      </c>
      <c r="F2" s="13" t="inlineStr">
        <is>
          <t>거래 수수료(2.9%+33원)</t>
        </is>
      </c>
      <c r="G2" s="14" t="n">
        <v>0</v>
      </c>
      <c r="H2" s="13" t="inlineStr">
        <is>
          <t>admin@</t>
        </is>
      </c>
      <c r="I2" s="15" t="inlineStr">
        <is>
          <t>대기</t>
        </is>
      </c>
      <c r="J2" s="16" t="inlineStr"/>
      <c r="K2" s="16" t="inlineStr"/>
      <c r="L2" s="13" t="inlineStr">
        <is>
          <t>TOSS_SECRET_KEY, PG_PROVIDER</t>
        </is>
      </c>
      <c r="M2" s="13" t="inlineStr">
        <is>
          <t>심사 1~2주, 최우선 신청</t>
        </is>
      </c>
    </row>
    <row r="3">
      <c r="A3" s="12" t="n">
        <v>1</v>
      </c>
      <c r="B3" s="13" t="inlineStr">
        <is>
          <t>스토어</t>
        </is>
      </c>
      <c r="C3" s="13" t="inlineStr">
        <is>
          <t>Apple Developer</t>
        </is>
      </c>
      <c r="D3" s="13" t="inlineStr">
        <is>
          <t>Apple</t>
        </is>
      </c>
      <c r="E3" s="13" t="inlineStr">
        <is>
          <t>필수</t>
        </is>
      </c>
      <c r="F3" s="13" t="inlineStr">
        <is>
          <t>연 $99 (~₩128,700)</t>
        </is>
      </c>
      <c r="G3" s="14" t="n">
        <v>10725</v>
      </c>
      <c r="H3" s="13" t="inlineStr">
        <is>
          <t>admin@</t>
        </is>
      </c>
      <c r="I3" s="15" t="inlineStr">
        <is>
          <t>대기</t>
        </is>
      </c>
      <c r="J3" s="16" t="inlineStr"/>
      <c r="K3" s="16" t="inlineStr"/>
      <c r="L3" s="13" t="inlineStr">
        <is>
          <t>—</t>
        </is>
      </c>
      <c r="M3" s="13" t="inlineStr">
        <is>
          <t>이메일 이관 어려움 → admin@ 필수</t>
        </is>
      </c>
    </row>
    <row r="4">
      <c r="A4" s="12" t="n">
        <v>1</v>
      </c>
      <c r="B4" s="13" t="inlineStr">
        <is>
          <t>스토어</t>
        </is>
      </c>
      <c r="C4" s="13" t="inlineStr">
        <is>
          <t>Google Play Console</t>
        </is>
      </c>
      <c r="D4" s="13" t="inlineStr">
        <is>
          <t>Google</t>
        </is>
      </c>
      <c r="E4" s="13" t="inlineStr">
        <is>
          <t>필수</t>
        </is>
      </c>
      <c r="F4" s="13" t="inlineStr">
        <is>
          <t>일회성 $25 (~₩32,500)</t>
        </is>
      </c>
      <c r="G4" s="14" t="n">
        <v>0</v>
      </c>
      <c r="H4" s="13" t="inlineStr">
        <is>
          <t>admin@</t>
        </is>
      </c>
      <c r="I4" s="15" t="inlineStr">
        <is>
          <t>대기</t>
        </is>
      </c>
      <c r="J4" s="16" t="inlineStr"/>
      <c r="K4" s="16" t="inlineStr"/>
      <c r="L4" s="13" t="inlineStr">
        <is>
          <t>—</t>
        </is>
      </c>
      <c r="M4" s="13" t="inlineStr">
        <is>
          <t>일회성 등록</t>
        </is>
      </c>
    </row>
    <row r="5">
      <c r="A5" s="12" t="n">
        <v>1</v>
      </c>
      <c r="B5" s="13" t="inlineStr">
        <is>
          <t>호스팅</t>
        </is>
      </c>
      <c r="C5" s="13" t="inlineStr">
        <is>
          <t>도메인 (pathwave.co.kr)</t>
        </is>
      </c>
      <c r="D5" s="13" t="inlineStr">
        <is>
          <t>Cloudflare / 가비아</t>
        </is>
      </c>
      <c r="E5" s="13" t="inlineStr">
        <is>
          <t>필수</t>
        </is>
      </c>
      <c r="F5" s="13" t="inlineStr">
        <is>
          <t>연 1.5~3만원</t>
        </is>
      </c>
      <c r="G5" s="14" t="n">
        <v>2500</v>
      </c>
      <c r="H5" s="13" t="inlineStr">
        <is>
          <t>admin@</t>
        </is>
      </c>
      <c r="I5" s="15" t="inlineStr">
        <is>
          <t>대기</t>
        </is>
      </c>
      <c r="J5" s="16" t="inlineStr"/>
      <c r="K5" s="16" t="inlineStr"/>
      <c r="L5" s="13" t="inlineStr">
        <is>
          <t>—</t>
        </is>
      </c>
      <c r="M5" s="13" t="inlineStr">
        <is>
          <t>한국 법인 정석</t>
        </is>
      </c>
    </row>
    <row r="6">
      <c r="A6" s="12" t="n">
        <v>1</v>
      </c>
      <c r="B6" s="13" t="inlineStr">
        <is>
          <t>호스팅</t>
        </is>
      </c>
      <c r="C6" s="13" t="inlineStr">
        <is>
          <t>Cloudflare DNS/Tunnel</t>
        </is>
      </c>
      <c r="D6" s="13" t="inlineStr">
        <is>
          <t>Cloudflare</t>
        </is>
      </c>
      <c r="E6" s="13" t="inlineStr">
        <is>
          <t>필수</t>
        </is>
      </c>
      <c r="F6" s="13" t="inlineStr">
        <is>
          <t>무료</t>
        </is>
      </c>
      <c r="G6" s="14" t="n">
        <v>0</v>
      </c>
      <c r="H6" s="13" t="inlineStr">
        <is>
          <t>admin@</t>
        </is>
      </c>
      <c r="I6" s="15" t="inlineStr">
        <is>
          <t>대기</t>
        </is>
      </c>
      <c r="J6" s="16" t="inlineStr"/>
      <c r="K6" s="16" t="inlineStr"/>
      <c r="L6" s="13" t="inlineStr">
        <is>
          <t>—</t>
        </is>
      </c>
      <c r="M6" s="13" t="inlineStr">
        <is>
          <t>DNS + dev 서버 외부 접근</t>
        </is>
      </c>
    </row>
    <row r="7">
      <c r="A7" s="12" t="n">
        <v>1</v>
      </c>
      <c r="B7" s="13" t="inlineStr">
        <is>
          <t>호스팅</t>
        </is>
      </c>
      <c r="C7" s="13" t="inlineStr">
        <is>
          <t>백엔드 서버</t>
        </is>
      </c>
      <c r="D7" s="13" t="inlineStr">
        <is>
          <t>AWS EC2 / Render / Railway</t>
        </is>
      </c>
      <c r="E7" s="13" t="inlineStr">
        <is>
          <t>필수</t>
        </is>
      </c>
      <c r="F7" s="13" t="inlineStr">
        <is>
          <t>월 5~15만원</t>
        </is>
      </c>
      <c r="G7" s="14" t="n">
        <v>100000</v>
      </c>
      <c r="H7" s="13" t="inlineStr">
        <is>
          <t>admin@</t>
        </is>
      </c>
      <c r="I7" s="15" t="inlineStr">
        <is>
          <t>대기</t>
        </is>
      </c>
      <c r="J7" s="16" t="inlineStr"/>
      <c r="K7" s="16" t="inlineStr"/>
      <c r="L7" s="13" t="inlineStr">
        <is>
          <t>—</t>
        </is>
      </c>
      <c r="M7" s="13" t="inlineStr">
        <is>
          <t>Flask + gunicorn</t>
        </is>
      </c>
    </row>
    <row r="8">
      <c r="A8" s="12" t="n">
        <v>1</v>
      </c>
      <c r="B8" s="13" t="inlineStr">
        <is>
          <t>호스팅</t>
        </is>
      </c>
      <c r="C8" s="13" t="inlineStr">
        <is>
          <t>PostgreSQL DB</t>
        </is>
      </c>
      <c r="D8" s="13" t="inlineStr">
        <is>
          <t>AWS RDS / Supabase / Neon</t>
        </is>
      </c>
      <c r="E8" s="13" t="inlineStr">
        <is>
          <t>필수</t>
        </is>
      </c>
      <c r="F8" s="13" t="inlineStr">
        <is>
          <t>월 정액(서버 포함 가능)</t>
        </is>
      </c>
      <c r="G8" s="14" t="n">
        <v>0</v>
      </c>
      <c r="H8" s="13" t="inlineStr">
        <is>
          <t>admin@</t>
        </is>
      </c>
      <c r="I8" s="15" t="inlineStr">
        <is>
          <t>대기</t>
        </is>
      </c>
      <c r="J8" s="16" t="inlineStr"/>
      <c r="K8" s="16" t="inlineStr"/>
      <c r="L8" s="13" t="inlineStr">
        <is>
          <t>DATABASE_URL</t>
        </is>
      </c>
      <c r="M8" s="13" t="inlineStr">
        <is>
          <t>마스터 + read 인덱스</t>
        </is>
      </c>
    </row>
    <row r="9">
      <c r="A9" s="12" t="n">
        <v>1</v>
      </c>
      <c r="B9" s="13" t="inlineStr">
        <is>
          <t>호스팅</t>
        </is>
      </c>
      <c r="C9" s="13" t="inlineStr">
        <is>
          <t>프론트 정적 호스팅</t>
        </is>
      </c>
      <c r="D9" s="13" t="inlineStr">
        <is>
          <t>Vercel / Netlify / CFP</t>
        </is>
      </c>
      <c r="E9" s="13" t="inlineStr">
        <is>
          <t>필수</t>
        </is>
      </c>
      <c r="F9" s="13" t="inlineStr">
        <is>
          <t>무료 tier</t>
        </is>
      </c>
      <c r="G9" s="14" t="n">
        <v>0</v>
      </c>
      <c r="H9" s="13" t="inlineStr">
        <is>
          <t>admin@</t>
        </is>
      </c>
      <c r="I9" s="15" t="inlineStr">
        <is>
          <t>대기</t>
        </is>
      </c>
      <c r="J9" s="16" t="inlineStr"/>
      <c r="K9" s="16" t="inlineStr"/>
      <c r="L9" s="13" t="inlineStr">
        <is>
          <t>—</t>
        </is>
      </c>
      <c r="M9" s="13" t="inlineStr">
        <is>
          <t>admin-web + provider-web</t>
        </is>
      </c>
    </row>
    <row r="10">
      <c r="A10" s="12" t="n">
        <v>1</v>
      </c>
      <c r="B10" s="13" t="inlineStr">
        <is>
          <t>인증/푸시</t>
        </is>
      </c>
      <c r="C10" s="13" t="inlineStr">
        <is>
          <t>Firebase Auth + FCM</t>
        </is>
      </c>
      <c r="D10" s="13" t="inlineStr">
        <is>
          <t>Google</t>
        </is>
      </c>
      <c r="E10" s="13" t="inlineStr">
        <is>
          <t>필수</t>
        </is>
      </c>
      <c r="F10" s="13" t="inlineStr">
        <is>
          <t>무료 tier</t>
        </is>
      </c>
      <c r="G10" s="14" t="n">
        <v>0</v>
      </c>
      <c r="H10" s="13" t="inlineStr">
        <is>
          <t>dev@</t>
        </is>
      </c>
      <c r="I10" s="15" t="inlineStr">
        <is>
          <t>대기</t>
        </is>
      </c>
      <c r="J10" s="16" t="inlineStr"/>
      <c r="K10" s="16" t="inlineStr"/>
      <c r="L10" s="13" t="inlineStr">
        <is>
          <t>FIREBASE_CREDENTIALS, PUSH_PROVIDER</t>
        </is>
      </c>
      <c r="M10" s="13" t="inlineStr">
        <is>
          <t>Google/Apple/이메일 인증 + 푸시</t>
        </is>
      </c>
    </row>
    <row r="11">
      <c r="A11" s="12" t="n">
        <v>1</v>
      </c>
      <c r="B11" s="13" t="inlineStr">
        <is>
          <t>이메일도메인</t>
        </is>
      </c>
      <c r="C11" s="13" t="inlineStr">
        <is>
          <t>Google Workspace</t>
        </is>
      </c>
      <c r="D11" s="13" t="inlineStr">
        <is>
          <t>Google</t>
        </is>
      </c>
      <c r="E11" s="13" t="inlineStr">
        <is>
          <t>필수</t>
        </is>
      </c>
      <c r="F11" s="13" t="inlineStr">
        <is>
          <t>월 $7~12/계정</t>
        </is>
      </c>
      <c r="G11" s="14" t="n">
        <v>15600</v>
      </c>
      <c r="H11" s="13" t="inlineStr">
        <is>
          <t>admin@</t>
        </is>
      </c>
      <c r="I11" s="15" t="inlineStr">
        <is>
          <t>대기</t>
        </is>
      </c>
      <c r="J11" s="16" t="inlineStr"/>
      <c r="K11" s="16" t="inlineStr"/>
      <c r="L11" s="13" t="inlineStr">
        <is>
          <t>—</t>
        </is>
      </c>
      <c r="M11" s="13" t="inlineStr">
        <is>
          <t>admin/dev/support/info/noreply 5 alias</t>
        </is>
      </c>
    </row>
    <row r="12">
      <c r="A12" s="17" t="n">
        <v>2</v>
      </c>
      <c r="B12" s="13" t="inlineStr">
        <is>
          <t>소셜로그인</t>
        </is>
      </c>
      <c r="C12" s="13" t="inlineStr">
        <is>
          <t>카카오 로그인</t>
        </is>
      </c>
      <c r="D12" s="13" t="inlineStr">
        <is>
          <t>Kakao</t>
        </is>
      </c>
      <c r="E12" s="13" t="inlineStr">
        <is>
          <t>필수</t>
        </is>
      </c>
      <c r="F12" s="13" t="inlineStr">
        <is>
          <t>무료</t>
        </is>
      </c>
      <c r="G12" s="14" t="n">
        <v>0</v>
      </c>
      <c r="H12" s="13" t="inlineStr">
        <is>
          <t>info@</t>
        </is>
      </c>
      <c r="I12" s="15" t="inlineStr">
        <is>
          <t>대기</t>
        </is>
      </c>
      <c r="J12" s="16" t="inlineStr"/>
      <c r="K12" s="16" t="inlineStr"/>
      <c r="L12" s="13" t="inlineStr">
        <is>
          <t>KAKAO_REST_KEY, KAKAO_NATIVE_APP_KEY</t>
        </is>
      </c>
      <c r="M12" s="13" t="inlineStr">
        <is>
          <t>카카오 검수 필요 (1~2주)</t>
        </is>
      </c>
    </row>
    <row r="13">
      <c r="A13" s="17" t="n">
        <v>2</v>
      </c>
      <c r="B13" s="13" t="inlineStr">
        <is>
          <t>소셜로그인</t>
        </is>
      </c>
      <c r="C13" s="13" t="inlineStr">
        <is>
          <t>네이버 로그인</t>
        </is>
      </c>
      <c r="D13" s="13" t="inlineStr">
        <is>
          <t>Naver</t>
        </is>
      </c>
      <c r="E13" s="13" t="inlineStr">
        <is>
          <t>필수</t>
        </is>
      </c>
      <c r="F13" s="13" t="inlineStr">
        <is>
          <t>무료</t>
        </is>
      </c>
      <c r="G13" s="14" t="n">
        <v>0</v>
      </c>
      <c r="H13" s="13" t="inlineStr">
        <is>
          <t>info@</t>
        </is>
      </c>
      <c r="I13" s="15" t="inlineStr">
        <is>
          <t>대기</t>
        </is>
      </c>
      <c r="J13" s="16" t="inlineStr"/>
      <c r="K13" s="16" t="inlineStr"/>
      <c r="L13" s="13" t="inlineStr">
        <is>
          <t>NAVER_CLIENT_ID, NAVER_CLIENT_SECRET</t>
        </is>
      </c>
      <c r="M13" s="13" t="inlineStr"/>
    </row>
    <row r="14">
      <c r="A14" s="17" t="n">
        <v>2</v>
      </c>
      <c r="B14" s="13" t="inlineStr">
        <is>
          <t>알림톡/SMS</t>
        </is>
      </c>
      <c r="C14" s="13" t="inlineStr">
        <is>
          <t>솔라피 알림톡</t>
        </is>
      </c>
      <c r="D14" s="13" t="inlineStr">
        <is>
          <t>Solapi</t>
        </is>
      </c>
      <c r="E14" s="13" t="inlineStr">
        <is>
          <t>필수</t>
        </is>
      </c>
      <c r="F14" s="13" t="inlineStr">
        <is>
          <t>건당 7~9원</t>
        </is>
      </c>
      <c r="G14" s="14" t="n">
        <v>45000</v>
      </c>
      <c r="H14" s="13" t="inlineStr">
        <is>
          <t>dev@</t>
        </is>
      </c>
      <c r="I14" s="15" t="inlineStr">
        <is>
          <t>대기</t>
        </is>
      </c>
      <c r="J14" s="16" t="inlineStr"/>
      <c r="K14" s="16" t="inlineStr"/>
      <c r="L14" s="13" t="inlineStr">
        <is>
          <t>SOLAPI_API_KEY, SOLAPI_API_SECRET</t>
        </is>
      </c>
      <c r="M14" s="13" t="inlineStr">
        <is>
          <t>템플릿 사전심사 1~2주</t>
        </is>
      </c>
    </row>
    <row r="15">
      <c r="A15" s="17" t="n">
        <v>2</v>
      </c>
      <c r="B15" s="13" t="inlineStr">
        <is>
          <t>알림톡/SMS</t>
        </is>
      </c>
      <c r="C15" s="13" t="inlineStr">
        <is>
          <t>솔라피 SMS 인증</t>
        </is>
      </c>
      <c r="D15" s="13" t="inlineStr">
        <is>
          <t>Solapi</t>
        </is>
      </c>
      <c r="E15" s="13" t="inlineStr">
        <is>
          <t>필수</t>
        </is>
      </c>
      <c r="F15" s="13" t="inlineStr">
        <is>
          <t>건당 8~15원</t>
        </is>
      </c>
      <c r="G15" s="14" t="n">
        <v>2400</v>
      </c>
      <c r="H15" s="13" t="inlineStr">
        <is>
          <t>dev@</t>
        </is>
      </c>
      <c r="I15" s="15" t="inlineStr">
        <is>
          <t>대기</t>
        </is>
      </c>
      <c r="J15" s="16" t="inlineStr"/>
      <c r="K15" s="16" t="inlineStr"/>
      <c r="L15" s="13" t="inlineStr">
        <is>
          <t>위 키 공용</t>
        </is>
      </c>
      <c r="M15" s="13" t="inlineStr">
        <is>
          <t>회원가입 인증</t>
        </is>
      </c>
    </row>
    <row r="16">
      <c r="A16" s="17" t="n">
        <v>2</v>
      </c>
      <c r="B16" s="13" t="inlineStr">
        <is>
          <t>이메일</t>
        </is>
      </c>
      <c r="C16" s="13" t="inlineStr">
        <is>
          <t>SendGrid</t>
        </is>
      </c>
      <c r="D16" s="13" t="inlineStr">
        <is>
          <t>Twilio</t>
        </is>
      </c>
      <c r="E16" s="13" t="inlineStr">
        <is>
          <t>필수</t>
        </is>
      </c>
      <c r="F16" s="13" t="inlineStr">
        <is>
          <t>무료 100통/일</t>
        </is>
      </c>
      <c r="G16" s="14" t="n">
        <v>0</v>
      </c>
      <c r="H16" s="13" t="inlineStr">
        <is>
          <t>dev@</t>
        </is>
      </c>
      <c r="I16" s="15" t="inlineStr">
        <is>
          <t>대기</t>
        </is>
      </c>
      <c r="J16" s="16" t="inlineStr"/>
      <c r="K16" s="16" t="inlineStr"/>
      <c r="L16" s="13" t="inlineStr">
        <is>
          <t>EMAIL_PROVIDER, SENDGRID_API_KEY</t>
        </is>
      </c>
      <c r="M16" s="13" t="inlineStr">
        <is>
          <t>발신: support@/noreply@</t>
        </is>
      </c>
    </row>
    <row r="17">
      <c r="A17" s="17" t="n">
        <v>2</v>
      </c>
      <c r="B17" s="13" t="inlineStr">
        <is>
          <t>모니터링</t>
        </is>
      </c>
      <c r="C17" s="13" t="inlineStr">
        <is>
          <t>Sentry</t>
        </is>
      </c>
      <c r="D17" s="13" t="inlineStr">
        <is>
          <t>Sentry</t>
        </is>
      </c>
      <c r="E17" s="13" t="inlineStr">
        <is>
          <t>필수</t>
        </is>
      </c>
      <c r="F17" s="13" t="inlineStr">
        <is>
          <t>무료 5K/월</t>
        </is>
      </c>
      <c r="G17" s="14" t="n">
        <v>0</v>
      </c>
      <c r="H17" s="13" t="inlineStr">
        <is>
          <t>dev@</t>
        </is>
      </c>
      <c r="I17" s="15" t="inlineStr">
        <is>
          <t>대기</t>
        </is>
      </c>
      <c r="J17" s="16" t="inlineStr"/>
      <c r="K17" s="16" t="inlineStr"/>
      <c r="L17" s="13" t="inlineStr">
        <is>
          <t>SENTRY_DSN</t>
        </is>
      </c>
      <c r="M17" s="13" t="inlineStr">
        <is>
          <t>백엔드 통합 완료</t>
        </is>
      </c>
    </row>
    <row r="18">
      <c r="A18" s="17" t="n">
        <v>2</v>
      </c>
      <c r="B18" s="13" t="inlineStr">
        <is>
          <t>지도</t>
        </is>
      </c>
      <c r="C18" s="13" t="inlineStr">
        <is>
          <t>Google Maps API</t>
        </is>
      </c>
      <c r="D18" s="13" t="inlineStr">
        <is>
          <t>Google</t>
        </is>
      </c>
      <c r="E18" s="13" t="inlineStr">
        <is>
          <t>필수</t>
        </is>
      </c>
      <c r="F18" s="13" t="inlineStr">
        <is>
          <t>월 $200 무료 크레딧</t>
        </is>
      </c>
      <c r="G18" s="14" t="n">
        <v>0</v>
      </c>
      <c r="H18" s="13" t="inlineStr">
        <is>
          <t>dev@</t>
        </is>
      </c>
      <c r="I18" s="15" t="inlineStr">
        <is>
          <t>대기</t>
        </is>
      </c>
      <c r="J18" s="16" t="inlineStr"/>
      <c r="K18" s="16" t="inlineStr"/>
      <c r="L18" s="13" t="inlineStr">
        <is>
          <t>GOOGLE_MAPS_API_KEY</t>
        </is>
      </c>
      <c r="M18" s="13" t="inlineStr">
        <is>
          <t>카드 등록 필수</t>
        </is>
      </c>
    </row>
    <row r="19">
      <c r="A19" s="18" t="n">
        <v>3</v>
      </c>
      <c r="B19" s="13" t="inlineStr">
        <is>
          <t>본인인증</t>
        </is>
      </c>
      <c r="C19" s="13" t="inlineStr">
        <is>
          <t>NICE / KCB / PASS</t>
        </is>
      </c>
      <c r="D19" s="13" t="inlineStr">
        <is>
          <t>본인인증 사업자</t>
        </is>
      </c>
      <c r="E19" s="13" t="inlineStr">
        <is>
          <t>선택</t>
        </is>
      </c>
      <c r="F19" s="13" t="inlineStr">
        <is>
          <t>건당 30~80원</t>
        </is>
      </c>
      <c r="G19" s="14" t="n">
        <v>2500</v>
      </c>
      <c r="H19" s="13" t="inlineStr">
        <is>
          <t>admin@</t>
        </is>
      </c>
      <c r="I19" s="15" t="inlineStr">
        <is>
          <t>대기</t>
        </is>
      </c>
      <c r="J19" s="16" t="inlineStr"/>
      <c r="K19" s="16" t="inlineStr"/>
      <c r="L19" s="13" t="inlineStr">
        <is>
          <t>계약 후 키 발급</t>
        </is>
      </c>
      <c r="M19" s="13" t="inlineStr">
        <is>
          <t>미성년자 확인용</t>
        </is>
      </c>
    </row>
    <row r="20">
      <c r="A20" s="18" t="n">
        <v>3</v>
      </c>
      <c r="B20" s="13" t="inlineStr">
        <is>
          <t>번역</t>
        </is>
      </c>
      <c r="C20" s="13" t="inlineStr">
        <is>
          <t>Google Translate / DeepL</t>
        </is>
      </c>
      <c r="D20" s="13" t="inlineStr">
        <is>
          <t>Google / DeepL</t>
        </is>
      </c>
      <c r="E20" s="13" t="inlineStr">
        <is>
          <t>선택(P8b)</t>
        </is>
      </c>
      <c r="F20" s="13" t="inlineStr">
        <is>
          <t>$20/1M chars</t>
        </is>
      </c>
      <c r="G20" s="14" t="n">
        <v>30000</v>
      </c>
      <c r="H20" s="13" t="inlineStr">
        <is>
          <t>dev@</t>
        </is>
      </c>
      <c r="I20" s="15" t="inlineStr">
        <is>
          <t>대기</t>
        </is>
      </c>
      <c r="J20" s="16" t="inlineStr"/>
      <c r="K20" s="16" t="inlineStr"/>
      <c r="L20" s="13" t="inlineStr">
        <is>
          <t>GOOGLE_TRANSLATE_API_KEY / DEEPL_API_KEY</t>
        </is>
      </c>
      <c r="M20" s="13" t="inlineStr">
        <is>
          <t>채팅 자동번역 USP</t>
        </is>
      </c>
    </row>
    <row r="21">
      <c r="A21" s="18" t="n">
        <v>3</v>
      </c>
      <c r="B21" s="13" t="inlineStr">
        <is>
          <t>자동화 S2</t>
        </is>
      </c>
      <c r="C21" s="13" t="inlineStr">
        <is>
          <t>Channeltalk</t>
        </is>
      </c>
      <c r="D21" s="13" t="inlineStr">
        <is>
          <t>Channel.io</t>
        </is>
      </c>
      <c r="E21" s="13" t="inlineStr">
        <is>
          <t>선택</t>
        </is>
      </c>
      <c r="F21" s="13" t="inlineStr">
        <is>
          <t>무료~5만원/월</t>
        </is>
      </c>
      <c r="G21" s="14" t="n">
        <v>0</v>
      </c>
      <c r="H21" s="13" t="inlineStr">
        <is>
          <t>dev@</t>
        </is>
      </c>
      <c r="I21" s="15" t="inlineStr">
        <is>
          <t>대기</t>
        </is>
      </c>
      <c r="J21" s="16" t="inlineStr"/>
      <c r="K21" s="16" t="inlineStr"/>
      <c r="L21" s="13" t="inlineStr">
        <is>
          <t>—</t>
        </is>
      </c>
      <c r="M21" s="13" t="inlineStr">
        <is>
          <t>출시 후 도입</t>
        </is>
      </c>
    </row>
    <row r="22">
      <c r="A22" s="18" t="n">
        <v>3</v>
      </c>
      <c r="B22" s="13" t="inlineStr">
        <is>
          <t>자동화 S2</t>
        </is>
      </c>
      <c r="C22" s="13" t="inlineStr">
        <is>
          <t>ChatGPT API</t>
        </is>
      </c>
      <c r="D22" s="13" t="inlineStr">
        <is>
          <t>OpenAI</t>
        </is>
      </c>
      <c r="E22" s="13" t="inlineStr">
        <is>
          <t>선택</t>
        </is>
      </c>
      <c r="F22" s="13" t="inlineStr">
        <is>
          <t>$0.15~3/M tokens</t>
        </is>
      </c>
      <c r="G22" s="14" t="n">
        <v>0</v>
      </c>
      <c r="H22" s="13" t="inlineStr">
        <is>
          <t>dev@</t>
        </is>
      </c>
      <c r="I22" s="15" t="inlineStr">
        <is>
          <t>대기</t>
        </is>
      </c>
      <c r="J22" s="16" t="inlineStr"/>
      <c r="K22" s="16" t="inlineStr"/>
      <c r="L22" s="13" t="inlineStr">
        <is>
          <t>OPENAI_API_KEY</t>
        </is>
      </c>
      <c r="M22" s="13" t="inlineStr">
        <is>
          <t>응대/리뷰 응답 자동화</t>
        </is>
      </c>
    </row>
    <row r="23">
      <c r="A23" s="18" t="n">
        <v>3</v>
      </c>
      <c r="B23" s="13" t="inlineStr">
        <is>
          <t>자동화 S2</t>
        </is>
      </c>
      <c r="C23" s="13" t="inlineStr">
        <is>
          <t>Make.com</t>
        </is>
      </c>
      <c r="D23" s="13" t="inlineStr">
        <is>
          <t>Make</t>
        </is>
      </c>
      <c r="E23" s="13" t="inlineStr">
        <is>
          <t>선택</t>
        </is>
      </c>
      <c r="F23" s="13" t="inlineStr">
        <is>
          <t>무료~$9~30/월</t>
        </is>
      </c>
      <c r="G23" s="14" t="n">
        <v>0</v>
      </c>
      <c r="H23" s="13" t="inlineStr">
        <is>
          <t>dev@</t>
        </is>
      </c>
      <c r="I23" s="15" t="inlineStr">
        <is>
          <t>대기</t>
        </is>
      </c>
      <c r="J23" s="16" t="inlineStr"/>
      <c r="K23" s="16" t="inlineStr"/>
      <c r="L23" s="13" t="inlineStr">
        <is>
          <t>—</t>
        </is>
      </c>
      <c r="M23" s="13" t="inlineStr">
        <is>
          <t>노코드 자동화 허브</t>
        </is>
      </c>
    </row>
    <row r="24">
      <c r="A24" s="18" t="n">
        <v>3</v>
      </c>
      <c r="B24" s="13" t="inlineStr">
        <is>
          <t>자동화 S2</t>
        </is>
      </c>
      <c r="C24" s="13" t="inlineStr">
        <is>
          <t>Buffer / Metricool</t>
        </is>
      </c>
      <c r="D24" s="13" t="inlineStr">
        <is>
          <t>Buffer / Metricool</t>
        </is>
      </c>
      <c r="E24" s="13" t="inlineStr">
        <is>
          <t>선택</t>
        </is>
      </c>
      <c r="F24" s="13" t="inlineStr">
        <is>
          <t>$6~15/월</t>
        </is>
      </c>
      <c r="G24" s="14" t="n">
        <v>0</v>
      </c>
      <c r="H24" s="13" t="inlineStr">
        <is>
          <t>info@</t>
        </is>
      </c>
      <c r="I24" s="15" t="inlineStr">
        <is>
          <t>대기</t>
        </is>
      </c>
      <c r="J24" s="16" t="inlineStr"/>
      <c r="K24" s="16" t="inlineStr"/>
      <c r="L24" s="13" t="inlineStr">
        <is>
          <t>—</t>
        </is>
      </c>
      <c r="M24" s="13" t="inlineStr">
        <is>
          <t>SNS 자동 게시</t>
        </is>
      </c>
    </row>
    <row r="25">
      <c r="A25" s="18" t="n">
        <v>3</v>
      </c>
      <c r="B25" s="13" t="inlineStr">
        <is>
          <t>자동화 S3</t>
        </is>
      </c>
      <c r="C25" s="13" t="inlineStr">
        <is>
          <t>HubSpot CRM</t>
        </is>
      </c>
      <c r="D25" s="13" t="inlineStr">
        <is>
          <t>HubSpot</t>
        </is>
      </c>
      <c r="E25" s="13" t="inlineStr">
        <is>
          <t>선택</t>
        </is>
      </c>
      <c r="F25" s="13" t="inlineStr">
        <is>
          <t>$20~50/월</t>
        </is>
      </c>
      <c r="G25" s="14" t="n">
        <v>0</v>
      </c>
      <c r="H25" s="13" t="inlineStr">
        <is>
          <t>admin@</t>
        </is>
      </c>
      <c r="I25" s="15" t="inlineStr">
        <is>
          <t>대기</t>
        </is>
      </c>
      <c r="J25" s="16" t="inlineStr"/>
      <c r="K25" s="16" t="inlineStr"/>
      <c r="L25" s="13" t="inlineStr">
        <is>
          <t>—</t>
        </is>
      </c>
      <c r="M25" s="13" t="inlineStr">
        <is>
          <t>데이터 기반 자동화</t>
        </is>
      </c>
    </row>
    <row r="26">
      <c r="A26" s="18" t="n">
        <v>3</v>
      </c>
      <c r="B26" s="13" t="inlineStr">
        <is>
          <t>자동화 S2</t>
        </is>
      </c>
      <c r="C26" s="13" t="inlineStr">
        <is>
          <t>Twilio Voice</t>
        </is>
      </c>
      <c r="D26" s="13" t="inlineStr">
        <is>
          <t>Twilio</t>
        </is>
      </c>
      <c r="E26" s="13" t="inlineStr">
        <is>
          <t>선택</t>
        </is>
      </c>
      <c r="F26" s="13" t="inlineStr">
        <is>
          <t>분당 100~500원</t>
        </is>
      </c>
      <c r="G26" s="14" t="n">
        <v>0</v>
      </c>
      <c r="H26" s="13" t="inlineStr">
        <is>
          <t>admin@</t>
        </is>
      </c>
      <c r="I26" s="15" t="inlineStr">
        <is>
          <t>대기</t>
        </is>
      </c>
      <c r="J26" s="16" t="inlineStr"/>
      <c r="K26" s="16" t="inlineStr"/>
      <c r="L26" s="13" t="inlineStr">
        <is>
          <t>TWILIO_*</t>
        </is>
      </c>
      <c r="M26" s="13" t="inlineStr">
        <is>
          <t>AI 음성 통화 (Stage 2)</t>
        </is>
      </c>
    </row>
  </sheetData>
  <dataValidations count="2">
    <dataValidation sqref="I2:I26" showDropDown="0" showInputMessage="0" showErrorMessage="0" allowBlank="1" type="list">
      <formula1>"대기,신청중,검수중,활성,보류"</formula1>
    </dataValidation>
    <dataValidation sqref="A2:A26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6" customWidth="1" min="5" max="5"/>
  </cols>
  <sheetData>
    <row r="1">
      <c r="A1" s="1" t="inlineStr">
        <is>
          <t>월별 비용 시나리오 — MAU 규모별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1" t="inlineStr">
        <is>
          <t>항목</t>
        </is>
      </c>
      <c r="B3" s="11" t="inlineStr">
        <is>
          <t>MAU 1K (출시초기)</t>
        </is>
      </c>
      <c r="C3" s="11" t="inlineStr">
        <is>
          <t>MAU 10K (중간규모)</t>
        </is>
      </c>
      <c r="D3" s="11" t="inlineStr">
        <is>
          <t>MAU 100K (대규모)</t>
        </is>
      </c>
      <c r="E3" s="11" t="inlineStr">
        <is>
          <t>비고</t>
        </is>
      </c>
    </row>
    <row r="4">
      <c r="A4" s="13" t="inlineStr">
        <is>
          <t>서버 + DB</t>
        </is>
      </c>
      <c r="B4" s="14" t="n">
        <v>100000</v>
      </c>
      <c r="C4" s="14" t="n">
        <v>400000</v>
      </c>
      <c r="D4" s="14" t="n">
        <v>3500000</v>
      </c>
      <c r="E4" s="13" t="inlineStr">
        <is>
          <t>스케일업</t>
        </is>
      </c>
    </row>
    <row r="5">
      <c r="A5" s="13" t="inlineStr">
        <is>
          <t>도메인 (월할)</t>
        </is>
      </c>
      <c r="B5" s="14" t="n">
        <v>2500</v>
      </c>
      <c r="C5" s="14" t="n">
        <v>2500</v>
      </c>
      <c r="D5" s="14" t="n">
        <v>2500</v>
      </c>
      <c r="E5" s="13" t="inlineStr">
        <is>
          <t>연 3만원 ÷ 12</t>
        </is>
      </c>
    </row>
    <row r="6">
      <c r="A6" s="13" t="inlineStr">
        <is>
          <t>알림톡</t>
        </is>
      </c>
      <c r="B6" s="14" t="n">
        <v>45000</v>
      </c>
      <c r="C6" s="14" t="n">
        <v>450000</v>
      </c>
      <c r="D6" s="14" t="n">
        <v>4500000</v>
      </c>
      <c r="E6" s="13" t="inlineStr">
        <is>
          <t>5K→50K→500K 건/월</t>
        </is>
      </c>
    </row>
    <row r="7">
      <c r="A7" s="13" t="inlineStr">
        <is>
          <t>SMS + 본인인증</t>
        </is>
      </c>
      <c r="B7" s="14" t="n">
        <v>5000</v>
      </c>
      <c r="C7" s="14" t="n">
        <v>50000</v>
      </c>
      <c r="D7" s="14" t="n">
        <v>500000</v>
      </c>
      <c r="E7" s="13" t="inlineStr"/>
    </row>
    <row r="8">
      <c r="A8" s="13" t="inlineStr">
        <is>
          <t>이메일 (SendGrid)</t>
        </is>
      </c>
      <c r="B8" s="14" t="n">
        <v>0</v>
      </c>
      <c r="C8" s="14" t="n">
        <v>15000</v>
      </c>
      <c r="D8" s="14" t="n">
        <v>150000</v>
      </c>
      <c r="E8" s="13" t="inlineStr">
        <is>
          <t>tier 초과 시 유료</t>
        </is>
      </c>
    </row>
    <row r="9">
      <c r="A9" s="13" t="inlineStr">
        <is>
          <t>Google Workspace</t>
        </is>
      </c>
      <c r="B9" s="14" t="n">
        <v>15600</v>
      </c>
      <c r="C9" s="14" t="n">
        <v>15600</v>
      </c>
      <c r="D9" s="14" t="n">
        <v>78000</v>
      </c>
      <c r="E9" s="13" t="inlineStr">
        <is>
          <t>5 alias→5 별도 계정</t>
        </is>
      </c>
    </row>
    <row r="10">
      <c r="A10" s="13" t="inlineStr">
        <is>
          <t>모니터링 (Sentry 등)</t>
        </is>
      </c>
      <c r="B10" s="14" t="n">
        <v>0</v>
      </c>
      <c r="C10" s="14" t="n">
        <v>0</v>
      </c>
      <c r="D10" s="14" t="n">
        <v>300000</v>
      </c>
      <c r="E10" s="13" t="inlineStr">
        <is>
          <t>대규모 유료화</t>
        </is>
      </c>
    </row>
    <row r="11">
      <c r="A11" s="13" t="inlineStr">
        <is>
          <t>Apple Developer (월할)</t>
        </is>
      </c>
      <c r="B11" s="14" t="n">
        <v>10725</v>
      </c>
      <c r="C11" s="14" t="n">
        <v>10725</v>
      </c>
      <c r="D11" s="14" t="n">
        <v>10725</v>
      </c>
      <c r="E11" s="13" t="inlineStr">
        <is>
          <t>$99/년</t>
        </is>
      </c>
    </row>
    <row r="12">
      <c r="A12" s="13" t="inlineStr">
        <is>
          <t>Firebase / 로그인</t>
        </is>
      </c>
      <c r="B12" s="14" t="n">
        <v>0</v>
      </c>
      <c r="C12" s="14" t="n">
        <v>0</v>
      </c>
      <c r="D12" s="14" t="n">
        <v>0</v>
      </c>
      <c r="E12" s="13" t="inlineStr">
        <is>
          <t>무료 tier</t>
        </is>
      </c>
    </row>
    <row r="13">
      <c r="A13" s="19" t="inlineStr">
        <is>
          <t>소계 (월 합계)</t>
        </is>
      </c>
      <c r="B13" s="20">
        <f>SUM(B4:B12)</f>
        <v/>
      </c>
      <c r="C13" s="20">
        <f>SUM(C4:C12)</f>
        <v/>
      </c>
      <c r="D13" s="20">
        <f>SUM(D4:D12)</f>
        <v/>
      </c>
      <c r="E13" s="13" t="inlineStr">
        <is>
          <t>합계 수식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2026년 월별 운영비 추정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1" t="inlineStr">
        <is>
          <t>※ 출시 = 7월 하순~8월 초. 1~7월은 코드 작업 중심. 8월부터 외부 서비스 활성화. MAU 0~1K 가정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13" t="inlineStr">
        <is>
          <t>서버 + DB</t>
        </is>
      </c>
      <c r="B5" s="14" t="n">
        <v>0</v>
      </c>
      <c r="C5" s="14" t="n">
        <v>0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50000</v>
      </c>
      <c r="J5" s="14" t="n">
        <v>100000</v>
      </c>
      <c r="K5" s="14" t="n">
        <v>100000</v>
      </c>
      <c r="L5" s="14" t="n">
        <v>100000</v>
      </c>
      <c r="M5" s="14" t="n">
        <v>100000</v>
      </c>
      <c r="N5" s="22">
        <f>SUM(B5:M5)</f>
        <v/>
      </c>
    </row>
    <row r="6">
      <c r="A6" s="13" t="inlineStr">
        <is>
          <t>도메인 (월할)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2500</v>
      </c>
      <c r="J6" s="14" t="n">
        <v>2500</v>
      </c>
      <c r="K6" s="14" t="n">
        <v>2500</v>
      </c>
      <c r="L6" s="14" t="n">
        <v>2500</v>
      </c>
      <c r="M6" s="14" t="n">
        <v>2500</v>
      </c>
      <c r="N6" s="22">
        <f>SUM(B6:M6)</f>
        <v/>
      </c>
    </row>
    <row r="7">
      <c r="A7" s="13" t="inlineStr">
        <is>
          <t>알림톡</t>
        </is>
      </c>
      <c r="B7" s="14" t="n">
        <v>0</v>
      </c>
      <c r="C7" s="14" t="n">
        <v>0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10000</v>
      </c>
      <c r="J7" s="14" t="n">
        <v>20000</v>
      </c>
      <c r="K7" s="14" t="n">
        <v>30000</v>
      </c>
      <c r="L7" s="14" t="n">
        <v>40000</v>
      </c>
      <c r="M7" s="14" t="n">
        <v>50000</v>
      </c>
      <c r="N7" s="22">
        <f>SUM(B7:M7)</f>
        <v/>
      </c>
    </row>
    <row r="8">
      <c r="A8" s="13" t="inlineStr">
        <is>
          <t>SMS + 본인인증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2000</v>
      </c>
      <c r="J8" s="14" t="n">
        <v>3000</v>
      </c>
      <c r="K8" s="14" t="n">
        <v>4000</v>
      </c>
      <c r="L8" s="14" t="n">
        <v>5000</v>
      </c>
      <c r="M8" s="14" t="n">
        <v>5000</v>
      </c>
      <c r="N8" s="22">
        <f>SUM(B8:M8)</f>
        <v/>
      </c>
    </row>
    <row r="9">
      <c r="A9" s="13" t="inlineStr">
        <is>
          <t>이메일 (SendGrid)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0</v>
      </c>
      <c r="N9" s="22">
        <f>SUM(B9:M9)</f>
        <v/>
      </c>
    </row>
    <row r="10">
      <c r="A10" s="13" t="inlineStr">
        <is>
          <t>Google Workspace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15600</v>
      </c>
      <c r="I10" s="14" t="n">
        <v>15600</v>
      </c>
      <c r="J10" s="14" t="n">
        <v>15600</v>
      </c>
      <c r="K10" s="14" t="n">
        <v>15600</v>
      </c>
      <c r="L10" s="14" t="n">
        <v>15600</v>
      </c>
      <c r="M10" s="14" t="n">
        <v>15600</v>
      </c>
      <c r="N10" s="22">
        <f>SUM(B10:M10)</f>
        <v/>
      </c>
    </row>
    <row r="11">
      <c r="A11" s="13" t="inlineStr">
        <is>
          <t>모니터링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22">
        <f>SUM(B11:M11)</f>
        <v/>
      </c>
    </row>
    <row r="12">
      <c r="A12" s="13" t="inlineStr">
        <is>
          <t>Firebase / 로그인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22">
        <f>SUM(B12:M12)</f>
        <v/>
      </c>
    </row>
    <row r="13">
      <c r="A13" s="13" t="inlineStr">
        <is>
          <t>Google Maps (무료 크레딧 초과분)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22">
        <f>SUM(B13:M13)</f>
        <v/>
      </c>
    </row>
    <row r="14">
      <c r="A14" s="13" t="inlineStr">
        <is>
          <t>번역 API (P8b)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22">
        <f>SUM(B14:M14)</f>
        <v/>
      </c>
    </row>
    <row r="15">
      <c r="A15" s="13" t="inlineStr">
        <is>
          <t>Apple Developer (연회비)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128700</v>
      </c>
      <c r="J15" s="14" t="n">
        <v>0</v>
      </c>
      <c r="K15" s="14" t="n">
        <v>0</v>
      </c>
      <c r="L15" s="14" t="n">
        <v>0</v>
      </c>
      <c r="M15" s="14" t="n">
        <v>0</v>
      </c>
      <c r="N15" s="22">
        <f>SUM(B15:M15)</f>
        <v/>
      </c>
    </row>
    <row r="16">
      <c r="A16" s="13" t="inlineStr">
        <is>
          <t>Google Play Console (일회성)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32500</v>
      </c>
      <c r="J16" s="14" t="n">
        <v>0</v>
      </c>
      <c r="K16" s="14" t="n">
        <v>0</v>
      </c>
      <c r="L16" s="14" t="n">
        <v>0</v>
      </c>
      <c r="M16" s="14" t="n">
        <v>0</v>
      </c>
      <c r="N16" s="22">
        <f>SUM(B16:M16)</f>
        <v/>
      </c>
    </row>
    <row r="17">
      <c r="A17" s="13" t="inlineStr">
        <is>
          <t>Mac mini 중고 (선택)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800000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22">
        <f>SUM(B17:M17)</f>
        <v/>
      </c>
    </row>
    <row r="18">
      <c r="A18" s="19" t="inlineStr">
        <is>
          <t>월 합계</t>
        </is>
      </c>
      <c r="B18" s="20">
        <f>SUM(B5:B17)</f>
        <v/>
      </c>
      <c r="C18" s="20">
        <f>SUM(C5:C17)</f>
        <v/>
      </c>
      <c r="D18" s="20">
        <f>SUM(D5:D17)</f>
        <v/>
      </c>
      <c r="E18" s="20">
        <f>SUM(E5:E17)</f>
        <v/>
      </c>
      <c r="F18" s="20">
        <f>SUM(F5:F17)</f>
        <v/>
      </c>
      <c r="G18" s="20">
        <f>SUM(G5:G17)</f>
        <v/>
      </c>
      <c r="H18" s="20">
        <f>SUM(H5:H17)</f>
        <v/>
      </c>
      <c r="I18" s="20">
        <f>SUM(I5:I17)</f>
        <v/>
      </c>
      <c r="J18" s="20">
        <f>SUM(J5:J17)</f>
        <v/>
      </c>
      <c r="K18" s="20">
        <f>SUM(K5:K17)</f>
        <v/>
      </c>
      <c r="L18" s="20">
        <f>SUM(L5:L17)</f>
        <v/>
      </c>
      <c r="M18" s="20">
        <f>SUM(M5:M17)</f>
        <v/>
      </c>
      <c r="N18" s="20">
        <f>SUM(B18:M18)</f>
        <v/>
      </c>
    </row>
    <row r="19">
      <c r="A19" s="23" t="inlineStr">
        <is>
          <t>누계</t>
        </is>
      </c>
      <c r="B19" s="24">
        <f>B18</f>
        <v/>
      </c>
      <c r="C19" s="24">
        <f>B19+C18</f>
        <v/>
      </c>
      <c r="D19" s="24">
        <f>C19+D18</f>
        <v/>
      </c>
      <c r="E19" s="24">
        <f>D19+E18</f>
        <v/>
      </c>
      <c r="F19" s="24">
        <f>E19+F18</f>
        <v/>
      </c>
      <c r="G19" s="24">
        <f>F19+G18</f>
        <v/>
      </c>
      <c r="H19" s="24">
        <f>G19+H18</f>
        <v/>
      </c>
      <c r="I19" s="24">
        <f>H19+I18</f>
        <v/>
      </c>
      <c r="J19" s="24">
        <f>I19+J18</f>
        <v/>
      </c>
      <c r="K19" s="24">
        <f>J19+K18</f>
        <v/>
      </c>
      <c r="L19" s="24">
        <f>K19+L18</f>
        <v/>
      </c>
      <c r="M19" s="24">
        <f>L19+M18</f>
        <v/>
      </c>
      <c r="N19" s="24">
        <f>N18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2027년 월별 운영비 추정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1" t="inlineStr">
        <is>
          <t>※ 점진 성장 가정 — Q1: MAU 1~2K(Stage 1 후반), Q2~Q3: MAU 3~10K(Stage 2), Q4: MAU 10K+. 자동화 도구는 별도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13" t="inlineStr">
        <is>
          <t>서버 + DB</t>
        </is>
      </c>
      <c r="B5" s="14" t="n">
        <v>100000</v>
      </c>
      <c r="C5" s="14" t="n">
        <v>100000</v>
      </c>
      <c r="D5" s="14" t="n">
        <v>100000</v>
      </c>
      <c r="E5" s="14" t="n">
        <v>150000</v>
      </c>
      <c r="F5" s="14" t="n">
        <v>150000</v>
      </c>
      <c r="G5" s="14" t="n">
        <v>150000</v>
      </c>
      <c r="H5" s="14" t="n">
        <v>250000</v>
      </c>
      <c r="I5" s="14" t="n">
        <v>250000</v>
      </c>
      <c r="J5" s="14" t="n">
        <v>250000</v>
      </c>
      <c r="K5" s="14" t="n">
        <v>400000</v>
      </c>
      <c r="L5" s="14" t="n">
        <v>400000</v>
      </c>
      <c r="M5" s="14" t="n">
        <v>400000</v>
      </c>
      <c r="N5" s="22">
        <f>SUM(B5:M5)</f>
        <v/>
      </c>
    </row>
    <row r="6">
      <c r="A6" s="13" t="inlineStr">
        <is>
          <t>도메인 (월할)</t>
        </is>
      </c>
      <c r="B6" s="14" t="n">
        <v>2500</v>
      </c>
      <c r="C6" s="14" t="n">
        <v>2500</v>
      </c>
      <c r="D6" s="14" t="n">
        <v>2500</v>
      </c>
      <c r="E6" s="14" t="n">
        <v>2500</v>
      </c>
      <c r="F6" s="14" t="n">
        <v>2500</v>
      </c>
      <c r="G6" s="14" t="n">
        <v>2500</v>
      </c>
      <c r="H6" s="14" t="n">
        <v>2500</v>
      </c>
      <c r="I6" s="14" t="n">
        <v>2500</v>
      </c>
      <c r="J6" s="14" t="n">
        <v>2500</v>
      </c>
      <c r="K6" s="14" t="n">
        <v>2500</v>
      </c>
      <c r="L6" s="14" t="n">
        <v>2500</v>
      </c>
      <c r="M6" s="14" t="n">
        <v>2500</v>
      </c>
      <c r="N6" s="22">
        <f>SUM(B6:M6)</f>
        <v/>
      </c>
    </row>
    <row r="7">
      <c r="A7" s="13" t="inlineStr">
        <is>
          <t>알림톡</t>
        </is>
      </c>
      <c r="B7" s="14" t="n">
        <v>50000</v>
      </c>
      <c r="C7" s="14" t="n">
        <v>60000</v>
      </c>
      <c r="D7" s="14" t="n">
        <v>70000</v>
      </c>
      <c r="E7" s="14" t="n">
        <v>100000</v>
      </c>
      <c r="F7" s="14" t="n">
        <v>130000</v>
      </c>
      <c r="G7" s="14" t="n">
        <v>160000</v>
      </c>
      <c r="H7" s="14" t="n">
        <v>200000</v>
      </c>
      <c r="I7" s="14" t="n">
        <v>250000</v>
      </c>
      <c r="J7" s="14" t="n">
        <v>300000</v>
      </c>
      <c r="K7" s="14" t="n">
        <v>350000</v>
      </c>
      <c r="L7" s="14" t="n">
        <v>400000</v>
      </c>
      <c r="M7" s="14" t="n">
        <v>450000</v>
      </c>
      <c r="N7" s="22">
        <f>SUM(B7:M7)</f>
        <v/>
      </c>
    </row>
    <row r="8">
      <c r="A8" s="13" t="inlineStr">
        <is>
          <t>SMS + 본인인증</t>
        </is>
      </c>
      <c r="B8" s="14" t="n">
        <v>5000</v>
      </c>
      <c r="C8" s="14" t="n">
        <v>6000</v>
      </c>
      <c r="D8" s="14" t="n">
        <v>7000</v>
      </c>
      <c r="E8" s="14" t="n">
        <v>10000</v>
      </c>
      <c r="F8" s="14" t="n">
        <v>15000</v>
      </c>
      <c r="G8" s="14" t="n">
        <v>20000</v>
      </c>
      <c r="H8" s="14" t="n">
        <v>25000</v>
      </c>
      <c r="I8" s="14" t="n">
        <v>30000</v>
      </c>
      <c r="J8" s="14" t="n">
        <v>40000</v>
      </c>
      <c r="K8" s="14" t="n">
        <v>45000</v>
      </c>
      <c r="L8" s="14" t="n">
        <v>50000</v>
      </c>
      <c r="M8" s="14" t="n">
        <v>50000</v>
      </c>
      <c r="N8" s="22">
        <f>SUM(B8:M8)</f>
        <v/>
      </c>
    </row>
    <row r="9">
      <c r="A9" s="13" t="inlineStr">
        <is>
          <t>이메일 (SendGrid)</t>
        </is>
      </c>
      <c r="B9" s="14" t="n">
        <v>0</v>
      </c>
      <c r="C9" s="14" t="n">
        <v>0</v>
      </c>
      <c r="D9" s="14" t="n">
        <v>0</v>
      </c>
      <c r="E9" s="14" t="n">
        <v>5000</v>
      </c>
      <c r="F9" s="14" t="n">
        <v>5000</v>
      </c>
      <c r="G9" s="14" t="n">
        <v>5000</v>
      </c>
      <c r="H9" s="14" t="n">
        <v>10000</v>
      </c>
      <c r="I9" s="14" t="n">
        <v>10000</v>
      </c>
      <c r="J9" s="14" t="n">
        <v>10000</v>
      </c>
      <c r="K9" s="14" t="n">
        <v>15000</v>
      </c>
      <c r="L9" s="14" t="n">
        <v>15000</v>
      </c>
      <c r="M9" s="14" t="n">
        <v>15000</v>
      </c>
      <c r="N9" s="22">
        <f>SUM(B9:M9)</f>
        <v/>
      </c>
    </row>
    <row r="10">
      <c r="A10" s="13" t="inlineStr">
        <is>
          <t>Google Workspace</t>
        </is>
      </c>
      <c r="B10" s="14" t="n">
        <v>15600</v>
      </c>
      <c r="C10" s="14" t="n">
        <v>15600</v>
      </c>
      <c r="D10" s="14" t="n">
        <v>15600</v>
      </c>
      <c r="E10" s="14" t="n">
        <v>15600</v>
      </c>
      <c r="F10" s="14" t="n">
        <v>15600</v>
      </c>
      <c r="G10" s="14" t="n">
        <v>15600</v>
      </c>
      <c r="H10" s="14" t="n">
        <v>15600</v>
      </c>
      <c r="I10" s="14" t="n">
        <v>15600</v>
      </c>
      <c r="J10" s="14" t="n">
        <v>15600</v>
      </c>
      <c r="K10" s="14" t="n">
        <v>15600</v>
      </c>
      <c r="L10" s="14" t="n">
        <v>15600</v>
      </c>
      <c r="M10" s="14" t="n">
        <v>15600</v>
      </c>
      <c r="N10" s="22">
        <f>SUM(B10:M10)</f>
        <v/>
      </c>
    </row>
    <row r="11">
      <c r="A11" s="13" t="inlineStr">
        <is>
          <t>모니터링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30000</v>
      </c>
      <c r="I11" s="14" t="n">
        <v>30000</v>
      </c>
      <c r="J11" s="14" t="n">
        <v>30000</v>
      </c>
      <c r="K11" s="14" t="n">
        <v>50000</v>
      </c>
      <c r="L11" s="14" t="n">
        <v>50000</v>
      </c>
      <c r="M11" s="14" t="n">
        <v>50000</v>
      </c>
      <c r="N11" s="22">
        <f>SUM(B11:M11)</f>
        <v/>
      </c>
    </row>
    <row r="12">
      <c r="A12" s="13" t="inlineStr">
        <is>
          <t>Firebase / 로그인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20000</v>
      </c>
      <c r="L12" s="14" t="n">
        <v>20000</v>
      </c>
      <c r="M12" s="14" t="n">
        <v>20000</v>
      </c>
      <c r="N12" s="22">
        <f>SUM(B12:M12)</f>
        <v/>
      </c>
    </row>
    <row r="13">
      <c r="A13" s="13" t="inlineStr">
        <is>
          <t>Google Maps (무료 크레딧 초과분)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30000</v>
      </c>
      <c r="L13" s="14" t="n">
        <v>30000</v>
      </c>
      <c r="M13" s="14" t="n">
        <v>30000</v>
      </c>
      <c r="N13" s="22">
        <f>SUM(B13:M13)</f>
        <v/>
      </c>
    </row>
    <row r="14">
      <c r="A14" s="13" t="inlineStr">
        <is>
          <t>번역 API (P8b)</t>
        </is>
      </c>
      <c r="B14" s="14" t="n">
        <v>0</v>
      </c>
      <c r="C14" s="14" t="n">
        <v>0</v>
      </c>
      <c r="D14" s="14" t="n">
        <v>0</v>
      </c>
      <c r="E14" s="14" t="n">
        <v>20000</v>
      </c>
      <c r="F14" s="14" t="n">
        <v>30000</v>
      </c>
      <c r="G14" s="14" t="n">
        <v>40000</v>
      </c>
      <c r="H14" s="14" t="n">
        <v>50000</v>
      </c>
      <c r="I14" s="14" t="n">
        <v>60000</v>
      </c>
      <c r="J14" s="14" t="n">
        <v>80000</v>
      </c>
      <c r="K14" s="14" t="n">
        <v>100000</v>
      </c>
      <c r="L14" s="14" t="n">
        <v>120000</v>
      </c>
      <c r="M14" s="14" t="n">
        <v>150000</v>
      </c>
      <c r="N14" s="22">
        <f>SUM(B14:M14)</f>
        <v/>
      </c>
    </row>
    <row r="15">
      <c r="A15" s="13" t="inlineStr">
        <is>
          <t>Apple Developer (연회비 갱신)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128700</v>
      </c>
      <c r="J15" s="14" t="n">
        <v>0</v>
      </c>
      <c r="K15" s="14" t="n">
        <v>0</v>
      </c>
      <c r="L15" s="14" t="n">
        <v>0</v>
      </c>
      <c r="M15" s="14" t="n">
        <v>0</v>
      </c>
      <c r="N15" s="22">
        <f>SUM(B15:M15)</f>
        <v/>
      </c>
    </row>
    <row r="16">
      <c r="A16" s="13" t="inlineStr">
        <is>
          <t>Google Play Console (일회성)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22">
        <f>SUM(B16:M16)</f>
        <v/>
      </c>
    </row>
    <row r="17">
      <c r="A17" s="13" t="inlineStr">
        <is>
          <t>Mac mini 중고 (선택)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22">
        <f>SUM(B17:M17)</f>
        <v/>
      </c>
    </row>
    <row r="18">
      <c r="A18" s="19" t="inlineStr">
        <is>
          <t>월 합계</t>
        </is>
      </c>
      <c r="B18" s="20">
        <f>SUM(B5:B17)</f>
        <v/>
      </c>
      <c r="C18" s="20">
        <f>SUM(C5:C17)</f>
        <v/>
      </c>
      <c r="D18" s="20">
        <f>SUM(D5:D17)</f>
        <v/>
      </c>
      <c r="E18" s="20">
        <f>SUM(E5:E17)</f>
        <v/>
      </c>
      <c r="F18" s="20">
        <f>SUM(F5:F17)</f>
        <v/>
      </c>
      <c r="G18" s="20">
        <f>SUM(G5:G17)</f>
        <v/>
      </c>
      <c r="H18" s="20">
        <f>SUM(H5:H17)</f>
        <v/>
      </c>
      <c r="I18" s="20">
        <f>SUM(I5:I17)</f>
        <v/>
      </c>
      <c r="J18" s="20">
        <f>SUM(J5:J17)</f>
        <v/>
      </c>
      <c r="K18" s="20">
        <f>SUM(K5:K17)</f>
        <v/>
      </c>
      <c r="L18" s="20">
        <f>SUM(L5:L17)</f>
        <v/>
      </c>
      <c r="M18" s="20">
        <f>SUM(M5:M17)</f>
        <v/>
      </c>
      <c r="N18" s="20">
        <f>SUM(B18:M18)</f>
        <v/>
      </c>
    </row>
    <row r="19">
      <c r="A19" s="23" t="inlineStr">
        <is>
          <t>누계</t>
        </is>
      </c>
      <c r="B19" s="24">
        <f>B18</f>
        <v/>
      </c>
      <c r="C19" s="24">
        <f>B19+C18</f>
        <v/>
      </c>
      <c r="D19" s="24">
        <f>C19+D18</f>
        <v/>
      </c>
      <c r="E19" s="24">
        <f>D19+E18</f>
        <v/>
      </c>
      <c r="F19" s="24">
        <f>E19+F18</f>
        <v/>
      </c>
      <c r="G19" s="24">
        <f>F19+G18</f>
        <v/>
      </c>
      <c r="H19" s="24">
        <f>G19+H18</f>
        <v/>
      </c>
      <c r="I19" s="24">
        <f>H19+I18</f>
        <v/>
      </c>
      <c r="J19" s="24">
        <f>I19+J18</f>
        <v/>
      </c>
      <c r="K19" s="24">
        <f>J19+K18</f>
        <v/>
      </c>
      <c r="L19" s="24">
        <f>K19+L18</f>
        <v/>
      </c>
      <c r="M19" s="24">
        <f>L19+M18</f>
        <v/>
      </c>
      <c r="N19" s="24">
        <f>N18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2026-05-23T02:41:04Z</dcterms:created>
  <dcterms:modified xmlns:dcterms="http://purl.org/dc/terms/" xmlns:xsi="http://www.w3.org/2001/XMLSchema-instance" xsi:type="dcterms:W3CDTF">2026-05-23T02:41:04Z</dcterms:modified>
</cp:coreProperties>
</file>