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 합계" sheetId="1" state="visible" r:id="rId1"/>
    <sheet xmlns:r="http://schemas.openxmlformats.org/officeDocument/2006/relationships" name="서비스 신청 체크리스트" sheetId="2" state="visible" r:id="rId2"/>
    <sheet xmlns:r="http://schemas.openxmlformats.org/officeDocument/2006/relationships" name="초기 세팅비 (1회성)" sheetId="3" state="visible" r:id="rId3"/>
    <sheet xmlns:r="http://schemas.openxmlformats.org/officeDocument/2006/relationships" name="월별 운영비 시나리오" sheetId="4" state="visible" r:id="rId4"/>
    <sheet xmlns:r="http://schemas.openxmlformats.org/officeDocument/2006/relationships" name="손익분기점 (BEP)" sheetId="5" state="visible" r:id="rId5"/>
    <sheet xmlns:r="http://schemas.openxmlformats.org/officeDocument/2006/relationships" name="2026년 월별" sheetId="6" state="visible" r:id="rId6"/>
    <sheet xmlns:r="http://schemas.openxmlformats.org/officeDocument/2006/relationships" name="2027년 월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;(₩#,##0);-"/>
  </numFmts>
  <fonts count="13">
    <font>
      <name val="Calibri"/>
      <family val="2"/>
      <color theme="1"/>
      <sz val="11"/>
      <scheme val="minor"/>
    </font>
    <font>
      <name val="맑은 고딕"/>
      <color rgb="000563C1"/>
      <u val="single"/>
    </font>
    <font>
      <name val="맑은 고딕"/>
      <color rgb="000000FF"/>
    </font>
    <font>
      <name val="맑은 고딕"/>
      <b val="1"/>
    </font>
    <font>
      <name val="맑은 고딕"/>
      <b val="1"/>
      <color rgb="00FFFFFF"/>
      <sz val="11"/>
    </font>
    <font>
      <name val="맑은 고딕"/>
      <b val="1"/>
      <color rgb="001F4E78"/>
      <sz val="14"/>
    </font>
    <font>
      <name val="맑은 고딕"/>
      <color rgb="00008000"/>
    </font>
    <font>
      <name val="맑은 고딕"/>
      <b val="1"/>
      <color rgb="00C00000"/>
    </font>
    <font>
      <name val="맑은 고딕"/>
      <b val="1"/>
      <color rgb="001F4E78"/>
    </font>
    <font>
      <name val="맑은 고딕"/>
      <color rgb="00505050"/>
    </font>
    <font>
      <name val="맑은 고딕"/>
      <i val="1"/>
      <color rgb="00808080"/>
    </font>
    <font>
      <name val="맑은 고딕"/>
      <i val="1"/>
    </font>
    <font>
      <name val="맑은 고딕"/>
      <color theme="1"/>
      <sz val="11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FFFFCC"/>
      </patternFill>
    </fill>
    <fill>
      <patternFill patternType="solid">
        <fgColor rgb="00FFE4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5" fillId="0" borderId="0" pivotButton="0" quotePrefix="0" xfId="0"/>
    <xf numFmtId="0" fontId="12" fillId="0" borderId="0" pivotButton="0" quotePrefix="0" xfId="0"/>
    <xf numFmtId="0" fontId="4" fillId="5" borderId="1" applyAlignment="1" pivotButton="0" quotePrefix="0" xfId="0">
      <alignment horizontal="center"/>
    </xf>
    <xf numFmtId="0" fontId="12" fillId="0" borderId="1" pivotButton="0" quotePrefix="0" xfId="0"/>
    <xf numFmtId="164" fontId="6" fillId="0" borderId="1" pivotButton="0" quotePrefix="0" xfId="0"/>
    <xf numFmtId="164" fontId="12" fillId="0" borderId="1" pivotButton="0" quotePrefix="0" xfId="0"/>
    <xf numFmtId="0" fontId="3" fillId="0" borderId="1" pivotButton="0" quotePrefix="0" xfId="0"/>
    <xf numFmtId="164" fontId="3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164" fontId="3" fillId="6" borderId="1" applyAlignment="1" pivotButton="0" quotePrefix="0" xfId="0">
      <alignment vertical="top" wrapText="1"/>
    </xf>
    <xf numFmtId="0" fontId="3" fillId="0" borderId="0" pivotButton="0" quotePrefix="0" xfId="0"/>
    <xf numFmtId="0" fontId="2" fillId="6" borderId="0" pivotButton="0" quotePrefix="0" xfId="0"/>
    <xf numFmtId="164" fontId="2" fillId="6" borderId="0" pivotButton="0" quotePrefix="0" xfId="0"/>
    <xf numFmtId="0" fontId="3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6" fillId="7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164" fontId="7" fillId="6" borderId="1" applyAlignment="1" pivotButton="0" quotePrefix="0" xfId="0">
      <alignment vertical="top" wrapText="1"/>
    </xf>
    <xf numFmtId="0" fontId="2" fillId="0" borderId="1" pivotButton="0" quotePrefix="0" xfId="0"/>
    <xf numFmtId="3" fontId="3" fillId="6" borderId="1" pivotButton="0" quotePrefix="0" xfId="0"/>
    <xf numFmtId="0" fontId="7" fillId="0" borderId="0" pivotButton="0" quotePrefix="0" xfId="0"/>
    <xf numFmtId="0" fontId="10" fillId="0" borderId="0" pivotButton="0" quotePrefix="0" xfId="0"/>
    <xf numFmtId="164" fontId="3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retop.com/" TargetMode="External" Id="rId1"/><Relationship Type="http://schemas.openxmlformats.org/officeDocument/2006/relationships/hyperlink" Target="https://merchant.tosspayments.com/" TargetMode="External" Id="rId2"/><Relationship Type="http://schemas.openxmlformats.org/officeDocument/2006/relationships/hyperlink" Target="https://developer.apple.com/programs/enroll/" TargetMode="External" Id="rId3"/><Relationship Type="http://schemas.openxmlformats.org/officeDocument/2006/relationships/hyperlink" Target="https://play.google.com/console/u/0/signup" TargetMode="External" Id="rId4"/><Relationship Type="http://schemas.openxmlformats.org/officeDocument/2006/relationships/hyperlink" Target="https://www.gabia.com/" TargetMode="External" Id="rId5"/><Relationship Type="http://schemas.openxmlformats.org/officeDocument/2006/relationships/hyperlink" Target="https://www.gabia.com/" TargetMode="External" Id="rId6"/><Relationship Type="http://schemas.openxmlformats.org/officeDocument/2006/relationships/hyperlink" Target="https://dash.cloudflare.com/" TargetMode="External" Id="rId7"/><Relationship Type="http://schemas.openxmlformats.org/officeDocument/2006/relationships/hyperlink" Target="https://www.gabia.com/service/hosting" TargetMode="External" Id="rId8"/><Relationship Type="http://schemas.openxmlformats.org/officeDocument/2006/relationships/hyperlink" Target="https://supabase.com/" TargetMode="External" Id="rId9"/><Relationship Type="http://schemas.openxmlformats.org/officeDocument/2006/relationships/hyperlink" Target="https://console.firebase.google.com/" TargetMode="External" Id="rId10"/><Relationship Type="http://schemas.openxmlformats.org/officeDocument/2006/relationships/hyperlink" Target="https://developer.apple.com/account/resources/" TargetMode="External" Id="rId11"/><Relationship Type="http://schemas.openxmlformats.org/officeDocument/2006/relationships/hyperlink" Target="https://console.firebase.google.com/" TargetMode="External" Id="rId12"/><Relationship Type="http://schemas.openxmlformats.org/officeDocument/2006/relationships/hyperlink" Target="https://workspace.google.com/" TargetMode="External" Id="rId13"/><Relationship Type="http://schemas.openxmlformats.org/officeDocument/2006/relationships/hyperlink" Target="https://workspace.google.com/" TargetMode="External" Id="rId14"/><Relationship Type="http://schemas.openxmlformats.org/officeDocument/2006/relationships/hyperlink" Target="https://www.patent.go.kr/" TargetMode="External" Id="rId15"/><Relationship Type="http://schemas.openxmlformats.org/officeDocument/2006/relationships/hyperlink" Target="https://www.patent.go.kr/" TargetMode="External" Id="rId16"/><Relationship Type="http://schemas.openxmlformats.org/officeDocument/2006/relationships/hyperlink" Target="https://developers.kakao.com/" TargetMode="External" Id="rId17"/><Relationship Type="http://schemas.openxmlformats.org/officeDocument/2006/relationships/hyperlink" Target="https://developers.naver.com/" TargetMode="External" Id="rId18"/><Relationship Type="http://schemas.openxmlformats.org/officeDocument/2006/relationships/hyperlink" Target="https://signup.sendgrid.com/" TargetMode="External" Id="rId19"/><Relationship Type="http://schemas.openxmlformats.org/officeDocument/2006/relationships/hyperlink" Target="https://sentry.io/signup/" TargetMode="External" Id="rId20"/><Relationship Type="http://schemas.openxmlformats.org/officeDocument/2006/relationships/hyperlink" Target="https://console.cloud.google.com/" TargetMode="External" Id="rId21"/><Relationship Type="http://schemas.openxmlformats.org/officeDocument/2006/relationships/hyperlink" Target="https://solapi.com/" TargetMode="External" Id="rId22"/><Relationship Type="http://schemas.openxmlformats.org/officeDocument/2006/relationships/hyperlink" Target="https://solapi.com/" TargetMode="External" Id="rId23"/><Relationship Type="http://schemas.openxmlformats.org/officeDocument/2006/relationships/hyperlink" Target="https://www.niceinfo.co.kr/" TargetMode="External" Id="rId24"/><Relationship Type="http://schemas.openxmlformats.org/officeDocument/2006/relationships/hyperlink" Target="https://www.deepl.com/pro" TargetMode="External" Id="rId25"/><Relationship Type="http://schemas.openxmlformats.org/officeDocument/2006/relationships/hyperlink" Target="https://platform.openai.com/signup" TargetMode="External" Id="rId26"/><Relationship Type="http://schemas.openxmlformats.org/officeDocument/2006/relationships/hyperlink" Target="https://www.twilio.com/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50" customWidth="1" min="4" max="4"/>
  </cols>
  <sheetData>
    <row r="1">
      <c r="A1" s="1" t="inlineStr">
        <is>
          <t>PathWave 운영비 — 연간 합계 (반복 + 초기 1회성 분리)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항목</t>
        </is>
      </c>
      <c r="B3" s="3" t="inlineStr">
        <is>
          <t>금액 (₩)</t>
        </is>
      </c>
      <c r="C3" s="3" t="inlineStr">
        <is>
          <t>월 평균 (₩)</t>
        </is>
      </c>
      <c r="D3" s="3" t="inlineStr">
        <is>
          <t>비고</t>
        </is>
      </c>
    </row>
    <row r="4">
      <c r="A4" s="4" t="inlineStr">
        <is>
          <t>2026 반복 운영비 (8~12월 5개월)</t>
        </is>
      </c>
      <c r="B4" s="5">
        <f>'2026년 월별'!N15</f>
        <v/>
      </c>
      <c r="C4" s="6">
        <f>B4/5</f>
        <v/>
      </c>
      <c r="D4" s="4" t="inlineStr">
        <is>
          <t>월별 반복만 (매장 0→10)</t>
        </is>
      </c>
    </row>
    <row r="5">
      <c r="A5" s="4" t="inlineStr">
        <is>
          <t>2027 반복 운영비 (12개월)</t>
        </is>
      </c>
      <c r="B5" s="5">
        <f>'2027년 월별'!N15</f>
        <v/>
      </c>
      <c r="C5" s="6">
        <f>B5/12</f>
        <v/>
      </c>
      <c r="D5" s="4" t="inlineStr">
        <is>
          <t>월별 반복만 (매장 30→500)</t>
        </is>
      </c>
    </row>
    <row r="6">
      <c r="A6" s="4" t="inlineStr">
        <is>
          <t>초기 세팅비 — 필수만</t>
        </is>
      </c>
      <c r="B6" s="5">
        <f>'초기 세팅비 (1회성)'!B19</f>
        <v/>
      </c>
      <c r="C6" s="6" t="inlineStr">
        <is>
          <t>—</t>
        </is>
      </c>
      <c r="D6" s="4" t="inlineStr">
        <is>
          <t>Apple/Play/도메인/상표만 (Mac mini 제외)</t>
        </is>
      </c>
    </row>
    <row r="7">
      <c r="A7" s="4" t="inlineStr">
        <is>
          <t>초기 세팅비 — Mac mini 포함 (권장)</t>
        </is>
      </c>
      <c r="B7" s="5">
        <f>'초기 세팅비 (1회성)'!B20</f>
        <v/>
      </c>
      <c r="C7" s="6" t="inlineStr">
        <is>
          <t>—</t>
        </is>
      </c>
      <c r="D7" s="4" t="inlineStr">
        <is>
          <t>+ Mac mini ₩880,000</t>
        </is>
      </c>
    </row>
    <row r="8">
      <c r="A8" s="4" t="inlineStr">
        <is>
          <t>초기 세팅비 — 전체 (NICE 포함)</t>
        </is>
      </c>
      <c r="B8" s="5">
        <f>'초기 세팅비 (1회성)'!B21</f>
        <v/>
      </c>
      <c r="C8" s="6" t="inlineStr">
        <is>
          <t>—</t>
        </is>
      </c>
      <c r="D8" s="4" t="inlineStr">
        <is>
          <t>+ NICE ₩100,000</t>
        </is>
      </c>
    </row>
    <row r="9">
      <c r="A9" s="4" t="inlineStr">
        <is>
          <t>2년 운영비 합계 (반복)</t>
        </is>
      </c>
      <c r="B9" s="5">
        <f>B4+B5</f>
        <v/>
      </c>
      <c r="C9" s="6" t="inlineStr">
        <is>
          <t>—</t>
        </is>
      </c>
      <c r="D9" s="4" t="inlineStr"/>
    </row>
    <row r="10">
      <c r="A10" s="7" t="inlineStr">
        <is>
          <t>2년 총합 (반복 + Mac mini 포함)</t>
        </is>
      </c>
      <c r="B10" s="8">
        <f>B4+B5+B7</f>
        <v/>
      </c>
      <c r="C10" s="6" t="inlineStr">
        <is>
          <t>—</t>
        </is>
      </c>
      <c r="D10" s="4" t="inlineStr">
        <is>
          <t>권장 셋업 기준</t>
        </is>
      </c>
    </row>
    <row r="11">
      <c r="A11" s="9" t="inlineStr">
        <is>
          <t>주요 가정 / 변경점 (2026-05-23 v5)</t>
        </is>
      </c>
      <c r="B11" s="2" t="n"/>
      <c r="C11" s="2" t="n"/>
      <c r="D11" s="2" t="n"/>
    </row>
    <row r="12">
      <c r="A12" s="10" t="inlineStr">
        <is>
          <t>① 환율 USD 1 = ₩1,500</t>
        </is>
      </c>
      <c r="B12" s="2" t="n"/>
      <c r="C12" s="2" t="n"/>
      <c r="D12" s="2" t="n"/>
    </row>
    <row r="13">
      <c r="A13" s="10" t="inlineStr">
        <is>
          <t>② 서버 = Mac mini 자체 (메모리 권장 인프라 로드맵) — Cloudflare Tunnel로 외부 노출. 비용 거의 0</t>
        </is>
      </c>
      <c r="B13" s="2" t="n"/>
      <c r="C13" s="2" t="n"/>
      <c r="D13" s="2" t="n"/>
    </row>
    <row r="14">
      <c r="A14" s="10" t="inlineStr">
        <is>
          <t>③ 알림톡 미사용 — 자체 앱 푸시(APNs/FCM) + 이메일로 대체. 외부 카카오톡 의존 0</t>
        </is>
      </c>
      <c r="B14" s="2" t="n"/>
      <c r="C14" s="2" t="n"/>
      <c r="D14" s="2" t="n"/>
    </row>
    <row r="15">
      <c r="A15" s="10" t="inlineStr">
        <is>
          <t>④ SMS 인증 옵션 — 매장 100+ 시 도입 권장 (또는 이메일 인증으로 대체)</t>
        </is>
      </c>
      <c r="B15" s="2" t="n"/>
      <c r="C15" s="2" t="n"/>
      <c r="D15" s="2" t="n"/>
    </row>
    <row r="16">
      <c r="A16" s="10" t="inlineStr">
        <is>
          <t>⑤ 자동화 = Mac mini 자체구축 (Python 스크립트 + cron) — Channeltalk/Make/Buffer 등 SaaS 대체</t>
        </is>
      </c>
      <c r="B16" s="2" t="n"/>
      <c r="C16" s="2" t="n"/>
      <c r="D16" s="2" t="n"/>
    </row>
    <row r="17">
      <c r="A17" s="10" t="inlineStr">
        <is>
          <t>⑥ 던스(D-U-N-S) 무료 신청 — Apple Developer 법인 가입 선행조건 (5~10영업일)</t>
        </is>
      </c>
      <c r="B17" s="2" t="n"/>
      <c r="C17" s="2" t="n"/>
      <c r="D17" s="2" t="n"/>
    </row>
    <row r="18">
      <c r="A18" s="10" t="inlineStr">
        <is>
          <t>⑦ 도메인·Workspace 2계정 분리 (pathwave + triggersoft)</t>
        </is>
      </c>
      <c r="B18" s="2" t="n"/>
      <c r="C18" s="2" t="n"/>
      <c r="D18" s="2" t="n"/>
    </row>
    <row r="19">
      <c r="A19" s="10" t="inlineStr">
        <is>
          <t>⑧ 시나리오 = 매장 수 기반 (매장당 매출 ₩10,000 직결). MAU는 매장×평균사용자 자동 계산</t>
        </is>
      </c>
      <c r="B19" s="2" t="n"/>
      <c r="C19" s="2" t="n"/>
      <c r="D19" s="2" t="n"/>
    </row>
    <row r="20">
      <c r="A20" s="10" t="inlineStr">
        <is>
          <t>⑨ 1회성 비용은 월별 시트 제외 → 초기 세팅비 시트만 (Mac mini 옵션 명시)</t>
        </is>
      </c>
      <c r="B20" s="2" t="n"/>
      <c r="C20" s="2" t="n"/>
      <c r="D20" s="2" t="n"/>
    </row>
    <row r="21">
      <c r="A21" s="10" t="inlineStr">
        <is>
          <t>⑩ Phase 1.5 단계 — Mac mini 개발환경 구축 + 통합 테스트 (운영 반영 전 필수)</t>
        </is>
      </c>
      <c r="B21" s="2" t="n"/>
      <c r="C21" s="2" t="n"/>
      <c r="D21" s="2" t="n"/>
    </row>
    <row r="22">
      <c r="A22" s="10" t="inlineStr">
        <is>
          <t>⑪ ⚠ Android 푸시는 FCM 외 사실상 대안 없음 (Google Play Services 의존) — FCM 무료라 실 비용 0</t>
        </is>
      </c>
      <c r="B22" s="2" t="n"/>
      <c r="C22" s="2" t="n"/>
      <c r="D22" s="2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8" customWidth="1" min="3" max="3"/>
    <col width="28" customWidth="1" min="4" max="4"/>
    <col width="9" customWidth="1" min="5" max="5"/>
    <col width="36" customWidth="1" min="6" max="6"/>
    <col width="38" customWidth="1" min="7" max="7"/>
    <col width="18" customWidth="1" min="8" max="8"/>
    <col width="10" customWidth="1" min="9" max="9"/>
    <col width="13" customWidth="1" min="10" max="10"/>
    <col width="13" customWidth="1" min="11" max="11"/>
    <col width="38" customWidth="1" min="12" max="12"/>
  </cols>
  <sheetData>
    <row r="1" ht="36" customHeight="1">
      <c r="A1" s="11" t="inlineStr">
        <is>
          <t>우선순위</t>
        </is>
      </c>
      <c r="B1" s="11" t="inlineStr">
        <is>
          <t>카테고리</t>
        </is>
      </c>
      <c r="C1" s="11" t="inlineStr">
        <is>
          <t>서비스</t>
        </is>
      </c>
      <c r="D1" s="11" t="inlineStr">
        <is>
          <t>제공사</t>
        </is>
      </c>
      <c r="E1" s="11" t="inlineStr">
        <is>
          <t>필수/선택</t>
        </is>
      </c>
      <c r="F1" s="11" t="inlineStr">
        <is>
          <t>가격 상세</t>
        </is>
      </c>
      <c r="G1" s="11" t="inlineStr">
        <is>
          <t>신청 링크</t>
        </is>
      </c>
      <c r="H1" s="11" t="inlineStr">
        <is>
          <t>가입 계정</t>
        </is>
      </c>
      <c r="I1" s="11" t="inlineStr">
        <is>
          <t>신청 상태</t>
        </is>
      </c>
      <c r="J1" s="11" t="inlineStr">
        <is>
          <t>신청 예정</t>
        </is>
      </c>
      <c r="K1" s="11" t="inlineStr">
        <is>
          <t>활성 예정</t>
        </is>
      </c>
      <c r="L1" s="11" t="inlineStr">
        <is>
          <t>환경변수 / 비고</t>
        </is>
      </c>
    </row>
    <row r="2">
      <c r="A2" s="12" t="n">
        <v>1</v>
      </c>
      <c r="B2" s="13" t="inlineStr">
        <is>
          <t>법인 식별</t>
        </is>
      </c>
      <c r="C2" s="13" t="inlineStr">
        <is>
          <t>D-U-N-S 번호 (Apple 법인 가입 필수)</t>
        </is>
      </c>
      <c r="D2" s="13" t="inlineStr">
        <is>
          <t>한국기업데이터(cretop) / D&amp;B</t>
        </is>
      </c>
      <c r="E2" s="13" t="inlineStr">
        <is>
          <t>필수</t>
        </is>
      </c>
      <c r="F2" s="13" t="inlineStr">
        <is>
          <t>무료 (5~10영업일)</t>
        </is>
      </c>
      <c r="G2" s="14" t="inlineStr">
        <is>
          <t>https://www.cretop.com/</t>
        </is>
      </c>
      <c r="H2" s="13" t="inlineStr">
        <is>
          <t>admin@triggersoft</t>
        </is>
      </c>
      <c r="I2" s="15" t="inlineStr">
        <is>
          <t>대기</t>
        </is>
      </c>
      <c r="J2" s="16" t="inlineStr">
        <is>
          <t>2026-06-02</t>
        </is>
      </c>
      <c r="K2" s="16" t="inlineStr">
        <is>
          <t>2026-06-12</t>
        </is>
      </c>
      <c r="L2" s="13" t="inlineStr">
        <is>
          <t>Apple Developer 법인 계정 선행조건 — 무료 신청</t>
        </is>
      </c>
    </row>
    <row r="3">
      <c r="A3" s="12" t="n">
        <v>1</v>
      </c>
      <c r="B3" s="13" t="inlineStr">
        <is>
          <t>결제</t>
        </is>
      </c>
      <c r="C3" s="13" t="inlineStr">
        <is>
          <t>토스페이먼츠</t>
        </is>
      </c>
      <c r="D3" s="13" t="inlineStr">
        <is>
          <t>Toss Payments</t>
        </is>
      </c>
      <c r="E3" s="13" t="inlineStr">
        <is>
          <t>필수</t>
        </is>
      </c>
      <c r="F3" s="13" t="inlineStr">
        <is>
          <t>수수료 2.9% + 33원/건 (가입 무료)</t>
        </is>
      </c>
      <c r="G3" s="14" t="inlineStr">
        <is>
          <t>https://merchant.tosspayments.com/</t>
        </is>
      </c>
      <c r="H3" s="13" t="inlineStr">
        <is>
          <t>admin@pathwave</t>
        </is>
      </c>
      <c r="I3" s="15" t="inlineStr">
        <is>
          <t>대기</t>
        </is>
      </c>
      <c r="J3" s="16" t="inlineStr">
        <is>
          <t>2026-06-02</t>
        </is>
      </c>
      <c r="K3" s="16" t="inlineStr">
        <is>
          <t>2026-06-16</t>
        </is>
      </c>
      <c r="L3" s="13" t="inlineStr">
        <is>
          <t>TOSS_SECRET_KEY · 심사 1~2주</t>
        </is>
      </c>
    </row>
    <row r="4">
      <c r="A4" s="12" t="n">
        <v>1</v>
      </c>
      <c r="B4" s="13" t="inlineStr">
        <is>
          <t>스토어</t>
        </is>
      </c>
      <c r="C4" s="13" t="inlineStr">
        <is>
          <t>Apple Developer Program (법인)</t>
        </is>
      </c>
      <c r="D4" s="13" t="inlineStr">
        <is>
          <t>Apple</t>
        </is>
      </c>
      <c r="E4" s="13" t="inlineStr">
        <is>
          <t>필수</t>
        </is>
      </c>
      <c r="F4" s="13" t="inlineStr">
        <is>
          <t>$99/년 (₩148,500 @1500) · D-U-N-S 필요</t>
        </is>
      </c>
      <c r="G4" s="14" t="inlineStr">
        <is>
          <t>https://developer.apple.com/programs/enroll/</t>
        </is>
      </c>
      <c r="H4" s="13" t="inlineStr">
        <is>
          <t>admin@pathwave</t>
        </is>
      </c>
      <c r="I4" s="15" t="inlineStr">
        <is>
          <t>대기</t>
        </is>
      </c>
      <c r="J4" s="16" t="inlineStr">
        <is>
          <t>2026-06-12</t>
        </is>
      </c>
      <c r="K4" s="16" t="inlineStr">
        <is>
          <t>2026-06-19</t>
        </is>
      </c>
      <c r="L4" s="13" t="inlineStr">
        <is>
          <t>D-U-N-S 발급 후 가입 가능</t>
        </is>
      </c>
    </row>
    <row r="5">
      <c r="A5" s="12" t="n">
        <v>1</v>
      </c>
      <c r="B5" s="13" t="inlineStr">
        <is>
          <t>스토어</t>
        </is>
      </c>
      <c r="C5" s="13" t="inlineStr">
        <is>
          <t>Google Play Console</t>
        </is>
      </c>
      <c r="D5" s="13" t="inlineStr">
        <is>
          <t>Google</t>
        </is>
      </c>
      <c r="E5" s="13" t="inlineStr">
        <is>
          <t>필수</t>
        </is>
      </c>
      <c r="F5" s="13" t="inlineStr">
        <is>
          <t>$25 일회성 (₩37,500 @1500)</t>
        </is>
      </c>
      <c r="G5" s="14" t="inlineStr">
        <is>
          <t>https://play.google.com/console/u/0/signup</t>
        </is>
      </c>
      <c r="H5" s="13" t="inlineStr">
        <is>
          <t>admin@pathwave</t>
        </is>
      </c>
      <c r="I5" s="15" t="inlineStr">
        <is>
          <t>대기</t>
        </is>
      </c>
      <c r="J5" s="16" t="inlineStr">
        <is>
          <t>2026-06-02</t>
        </is>
      </c>
      <c r="K5" s="16" t="inlineStr">
        <is>
          <t>2026-06-03</t>
        </is>
      </c>
      <c r="L5" s="13" t="inlineStr"/>
    </row>
    <row r="6">
      <c r="A6" s="12" t="n">
        <v>1</v>
      </c>
      <c r="B6" s="13" t="inlineStr">
        <is>
          <t>도메인</t>
        </is>
      </c>
      <c r="C6" s="13" t="inlineStr">
        <is>
          <t>pathwave.co.kr</t>
        </is>
      </c>
      <c r="D6" s="13" t="inlineStr">
        <is>
          <t>가비아</t>
        </is>
      </c>
      <c r="E6" s="13" t="inlineStr">
        <is>
          <t>필수</t>
        </is>
      </c>
      <c r="F6" s="13" t="inlineStr">
        <is>
          <t>연 ~3만원 (월 ~₩2,500)</t>
        </is>
      </c>
      <c r="G6" s="14" t="inlineStr">
        <is>
          <t>https://www.gabia.com/</t>
        </is>
      </c>
      <c r="H6" s="13" t="inlineStr">
        <is>
          <t>admin@pathwave</t>
        </is>
      </c>
      <c r="I6" s="15" t="inlineStr">
        <is>
          <t>대기</t>
        </is>
      </c>
      <c r="J6" s="16" t="inlineStr">
        <is>
          <t>2026-06-02</t>
        </is>
      </c>
      <c r="K6" s="16" t="inlineStr">
        <is>
          <t>2026-06-02</t>
        </is>
      </c>
      <c r="L6" s="13" t="inlineStr">
        <is>
          <t>서비스 도메인</t>
        </is>
      </c>
    </row>
    <row r="7">
      <c r="A7" s="12" t="n">
        <v>1</v>
      </c>
      <c r="B7" s="13" t="inlineStr">
        <is>
          <t>도메인</t>
        </is>
      </c>
      <c r="C7" s="13" t="inlineStr">
        <is>
          <t>triggersoft.kr</t>
        </is>
      </c>
      <c r="D7" s="13" t="inlineStr">
        <is>
          <t>가비아</t>
        </is>
      </c>
      <c r="E7" s="13" t="inlineStr">
        <is>
          <t>필수</t>
        </is>
      </c>
      <c r="F7" s="13" t="inlineStr">
        <is>
          <t>연 ~3만원 (월 ~₩2,500)</t>
        </is>
      </c>
      <c r="G7" s="14" t="inlineStr">
        <is>
          <t>https://www.gabia.com/</t>
        </is>
      </c>
      <c r="H7" s="13" t="inlineStr">
        <is>
          <t>admin@triggersoft</t>
        </is>
      </c>
      <c r="I7" s="15" t="inlineStr">
        <is>
          <t>대기</t>
        </is>
      </c>
      <c r="J7" s="16" t="inlineStr">
        <is>
          <t>2026-06-02</t>
        </is>
      </c>
      <c r="K7" s="16" t="inlineStr">
        <is>
          <t>2026-06-02</t>
        </is>
      </c>
      <c r="L7" s="13" t="inlineStr">
        <is>
          <t>법인 운영</t>
        </is>
      </c>
    </row>
    <row r="8">
      <c r="A8" s="12" t="n">
        <v>1</v>
      </c>
      <c r="B8" s="13" t="inlineStr">
        <is>
          <t>호스팅(권장)</t>
        </is>
      </c>
      <c r="C8" s="13" t="inlineStr">
        <is>
          <t>Mac mini 자체 (Cloudflare Tunnel)</t>
        </is>
      </c>
      <c r="D8" s="13" t="inlineStr">
        <is>
          <t>자체 보유</t>
        </is>
      </c>
      <c r="E8" s="13" t="inlineStr">
        <is>
          <t>필수</t>
        </is>
      </c>
      <c r="F8" s="13" t="inlineStr">
        <is>
          <t>월 ₩0 (전기료 ~₩3,000)</t>
        </is>
      </c>
      <c r="G8" s="14" t="inlineStr">
        <is>
          <t>https://dash.cloudflare.com/</t>
        </is>
      </c>
      <c r="H8" s="13" t="inlineStr">
        <is>
          <t>admin@pathwave</t>
        </is>
      </c>
      <c r="I8" s="15" t="inlineStr">
        <is>
          <t>대기</t>
        </is>
      </c>
      <c r="J8" s="16" t="inlineStr">
        <is>
          <t>2026-06-09</t>
        </is>
      </c>
      <c r="K8" s="16" t="inlineStr">
        <is>
          <t>2026-07-중</t>
        </is>
      </c>
      <c r="L8" s="13" t="inlineStr">
        <is>
          <t>메모리 권장 — Mac mini 1대로 백엔드+자동화</t>
        </is>
      </c>
    </row>
    <row r="9">
      <c r="A9" s="12" t="n">
        <v>1</v>
      </c>
      <c r="B9" s="13" t="inlineStr">
        <is>
          <t>호스팅(대안)</t>
        </is>
      </c>
      <c r="C9" s="13" t="inlineStr">
        <is>
          <t>가비아 SimpleHosting Light</t>
        </is>
      </c>
      <c r="D9" s="13" t="inlineStr">
        <is>
          <t>가비아</t>
        </is>
      </c>
      <c r="E9" s="13" t="inlineStr">
        <is>
          <t>선택</t>
        </is>
      </c>
      <c r="F9" s="13" t="inlineStr">
        <is>
          <t>월 ~₩4,500 (Python 지원)</t>
        </is>
      </c>
      <c r="G9" s="14" t="inlineStr">
        <is>
          <t>https://www.gabia.com/service/hosting</t>
        </is>
      </c>
      <c r="H9" s="13" t="inlineStr">
        <is>
          <t>admin@pathwave</t>
        </is>
      </c>
      <c r="I9" s="15" t="inlineStr">
        <is>
          <t>대기</t>
        </is>
      </c>
      <c r="J9" s="16" t="inlineStr">
        <is>
          <t>대안</t>
        </is>
      </c>
      <c r="K9" s="16" t="inlineStr"/>
      <c r="L9" s="13" t="inlineStr">
        <is>
          <t>Mac mini 부재 시 대안</t>
        </is>
      </c>
    </row>
    <row r="10">
      <c r="A10" s="12" t="n">
        <v>1</v>
      </c>
      <c r="B10" s="13" t="inlineStr">
        <is>
          <t>DB</t>
        </is>
      </c>
      <c r="C10" s="13" t="inlineStr">
        <is>
          <t>Supabase 또는 Neon (Postgres 무료)</t>
        </is>
      </c>
      <c r="D10" s="13" t="inlineStr">
        <is>
          <t>Supabase / Neon</t>
        </is>
      </c>
      <c r="E10" s="13" t="inlineStr">
        <is>
          <t>필수</t>
        </is>
      </c>
      <c r="F10" s="13" t="inlineStr">
        <is>
          <t>무료 tier (500MB ~ 1GB)</t>
        </is>
      </c>
      <c r="G10" s="14" t="inlineStr">
        <is>
          <t>https://supabase.com/</t>
        </is>
      </c>
      <c r="H10" s="13" t="inlineStr">
        <is>
          <t>admin@pathwave</t>
        </is>
      </c>
      <c r="I10" s="15" t="inlineStr">
        <is>
          <t>대기</t>
        </is>
      </c>
      <c r="J10" s="16" t="inlineStr">
        <is>
          <t>2026-06-09</t>
        </is>
      </c>
      <c r="K10" s="16" t="inlineStr">
        <is>
          <t>2026-06-12</t>
        </is>
      </c>
      <c r="L10" s="13" t="inlineStr">
        <is>
          <t>메모리 권장 무료 tier</t>
        </is>
      </c>
    </row>
    <row r="11">
      <c r="A11" s="12" t="n">
        <v>1</v>
      </c>
      <c r="B11" s="13" t="inlineStr">
        <is>
          <t>인증</t>
        </is>
      </c>
      <c r="C11" s="13" t="inlineStr">
        <is>
          <t>Firebase Auth</t>
        </is>
      </c>
      <c r="D11" s="13" t="inlineStr">
        <is>
          <t>Google</t>
        </is>
      </c>
      <c r="E11" s="13" t="inlineStr">
        <is>
          <t>필수</t>
        </is>
      </c>
      <c r="F11" s="13" t="inlineStr">
        <is>
          <t>무료 (10K MAU)</t>
        </is>
      </c>
      <c r="G11" s="14" t="inlineStr">
        <is>
          <t>https://console.firebase.google.com/</t>
        </is>
      </c>
      <c r="H11" s="13" t="inlineStr">
        <is>
          <t>dev@pathwave</t>
        </is>
      </c>
      <c r="I11" s="15" t="inlineStr">
        <is>
          <t>대기</t>
        </is>
      </c>
      <c r="J11" s="16" t="inlineStr">
        <is>
          <t>2026-06-02</t>
        </is>
      </c>
      <c r="K11" s="16" t="inlineStr">
        <is>
          <t>2026-06-03</t>
        </is>
      </c>
      <c r="L11" s="13" t="inlineStr">
        <is>
          <t>인증 전용</t>
        </is>
      </c>
    </row>
    <row r="12">
      <c r="A12" s="12" t="n">
        <v>1</v>
      </c>
      <c r="B12" s="13" t="inlineStr">
        <is>
          <t>푸시(iOS)</t>
        </is>
      </c>
      <c r="C12" s="13" t="inlineStr">
        <is>
          <t>APNs (자체구축)</t>
        </is>
      </c>
      <c r="D12" s="13" t="inlineStr">
        <is>
          <t>Apple</t>
        </is>
      </c>
      <c r="E12" s="13" t="inlineStr">
        <is>
          <t>필수</t>
        </is>
      </c>
      <c r="F12" s="13" t="inlineStr">
        <is>
          <t>무료 (Apple Developer 포함)</t>
        </is>
      </c>
      <c r="G12" s="14" t="inlineStr">
        <is>
          <t>https://developer.apple.com/account/resources/</t>
        </is>
      </c>
      <c r="H12" s="13" t="inlineStr">
        <is>
          <t>admin@pathwave</t>
        </is>
      </c>
      <c r="I12" s="15" t="inlineStr">
        <is>
          <t>대기</t>
        </is>
      </c>
      <c r="J12" s="16" t="inlineStr">
        <is>
          <t>2026-06-19</t>
        </is>
      </c>
      <c r="K12" s="16" t="inlineStr">
        <is>
          <t>2026-06-25</t>
        </is>
      </c>
      <c r="L12" s="13" t="inlineStr">
        <is>
          <t>APNs HTTP/2 + JWT (PR #50 완성)</t>
        </is>
      </c>
    </row>
    <row r="13">
      <c r="A13" s="12" t="n">
        <v>1</v>
      </c>
      <c r="B13" s="13" t="inlineStr">
        <is>
          <t>푸시(Android)</t>
        </is>
      </c>
      <c r="C13" s="13" t="inlineStr">
        <is>
          <t>FCM (무료 무제한)</t>
        </is>
      </c>
      <c r="D13" s="13" t="inlineStr">
        <is>
          <t>Google</t>
        </is>
      </c>
      <c r="E13" s="13" t="inlineStr">
        <is>
          <t>필수</t>
        </is>
      </c>
      <c r="F13" s="13" t="inlineStr">
        <is>
          <t>무료 무제한</t>
        </is>
      </c>
      <c r="G13" s="14" t="inlineStr">
        <is>
          <t>https://console.firebase.google.com/</t>
        </is>
      </c>
      <c r="H13" s="13" t="inlineStr">
        <is>
          <t>dev@pathwave</t>
        </is>
      </c>
      <c r="I13" s="15" t="inlineStr">
        <is>
          <t>대기</t>
        </is>
      </c>
      <c r="J13" s="16" t="inlineStr">
        <is>
          <t>2026-06-02</t>
        </is>
      </c>
      <c r="K13" s="16" t="inlineStr">
        <is>
          <t>2026-06-03</t>
        </is>
      </c>
      <c r="L13" s="13" t="inlineStr">
        <is>
          <t>⚠ Android는 FCM 외 사실상 대안 없음 — Google Play Services 의존</t>
        </is>
      </c>
    </row>
    <row r="14">
      <c r="A14" s="12" t="n">
        <v>1</v>
      </c>
      <c r="B14" s="13" t="inlineStr">
        <is>
          <t>이메일도메인</t>
        </is>
      </c>
      <c r="C14" s="13" t="inlineStr">
        <is>
          <t>Google Workspace (Pathwave)</t>
        </is>
      </c>
      <c r="D14" s="13" t="inlineStr">
        <is>
          <t>Google</t>
        </is>
      </c>
      <c r="E14" s="13" t="inlineStr">
        <is>
          <t>필수</t>
        </is>
      </c>
      <c r="F14" s="13" t="inlineStr">
        <is>
          <t>$7/계정/월 (₩10,500) + alias 4개 무료</t>
        </is>
      </c>
      <c r="G14" s="14" t="inlineStr">
        <is>
          <t>https://workspace.google.com/</t>
        </is>
      </c>
      <c r="H14" s="13" t="inlineStr">
        <is>
          <t>admin@pathwave</t>
        </is>
      </c>
      <c r="I14" s="15" t="inlineStr">
        <is>
          <t>대기</t>
        </is>
      </c>
      <c r="J14" s="16" t="inlineStr">
        <is>
          <t>2026-06-02</t>
        </is>
      </c>
      <c r="K14" s="16" t="inlineStr">
        <is>
          <t>2026-06-02</t>
        </is>
      </c>
      <c r="L14" s="13" t="inlineStr">
        <is>
          <t>admin/dev/support/noreply/info 5메일</t>
        </is>
      </c>
    </row>
    <row r="15">
      <c r="A15" s="12" t="n">
        <v>1</v>
      </c>
      <c r="B15" s="13" t="inlineStr">
        <is>
          <t>이메일도메인</t>
        </is>
      </c>
      <c r="C15" s="13" t="inlineStr">
        <is>
          <t>Google Workspace (Triggersoft)</t>
        </is>
      </c>
      <c r="D15" s="13" t="inlineStr">
        <is>
          <t>Google</t>
        </is>
      </c>
      <c r="E15" s="13" t="inlineStr">
        <is>
          <t>필수</t>
        </is>
      </c>
      <c r="F15" s="13" t="inlineStr">
        <is>
          <t>$7/계정/월 (₩10,500)</t>
        </is>
      </c>
      <c r="G15" s="14" t="inlineStr">
        <is>
          <t>https://workspace.google.com/</t>
        </is>
      </c>
      <c r="H15" s="13" t="inlineStr">
        <is>
          <t>admin@triggersoft</t>
        </is>
      </c>
      <c r="I15" s="15" t="inlineStr">
        <is>
          <t>대기</t>
        </is>
      </c>
      <c r="J15" s="16" t="inlineStr">
        <is>
          <t>2026-06-02</t>
        </is>
      </c>
      <c r="K15" s="16" t="inlineStr">
        <is>
          <t>2026-06-02</t>
        </is>
      </c>
      <c r="L15" s="13" t="inlineStr">
        <is>
          <t>법인 운영</t>
        </is>
      </c>
    </row>
    <row r="16">
      <c r="A16" s="12" t="n">
        <v>1</v>
      </c>
      <c r="B16" s="13" t="inlineStr">
        <is>
          <t>상표등록</t>
        </is>
      </c>
      <c r="C16" s="13" t="inlineStr">
        <is>
          <t>상표등록 — 패스웨이브</t>
        </is>
      </c>
      <c r="D16" s="13" t="inlineStr">
        <is>
          <t>특허청 (셀프 또는 변리사)</t>
        </is>
      </c>
      <c r="E16" s="13" t="inlineStr">
        <is>
          <t>필수</t>
        </is>
      </c>
      <c r="F16" s="13" t="inlineStr">
        <is>
          <t>셀프 ~₩267,000 / 변리사 50~80만</t>
        </is>
      </c>
      <c r="G16" s="14" t="inlineStr">
        <is>
          <t>https://www.patent.go.kr/</t>
        </is>
      </c>
      <c r="H16" s="13" t="inlineStr">
        <is>
          <t>admin@triggersoft</t>
        </is>
      </c>
      <c r="I16" s="15" t="inlineStr">
        <is>
          <t>대기</t>
        </is>
      </c>
      <c r="J16" s="16" t="inlineStr">
        <is>
          <t>2026-06-09</t>
        </is>
      </c>
      <c r="K16" s="16" t="inlineStr">
        <is>
          <t>심사 6~12개월</t>
        </is>
      </c>
      <c r="L16" s="13" t="inlineStr">
        <is>
          <t>출원 56,000 + 등록 211,000 (10년)</t>
        </is>
      </c>
    </row>
    <row r="17">
      <c r="A17" s="12" t="n">
        <v>1</v>
      </c>
      <c r="B17" s="13" t="inlineStr">
        <is>
          <t>상표등록</t>
        </is>
      </c>
      <c r="C17" s="13" t="inlineStr">
        <is>
          <t>상표등록 — 트리거소프트</t>
        </is>
      </c>
      <c r="D17" s="13" t="inlineStr">
        <is>
          <t>특허청 (셀프 또는 변리사)</t>
        </is>
      </c>
      <c r="E17" s="13" t="inlineStr">
        <is>
          <t>필수</t>
        </is>
      </c>
      <c r="F17" s="13" t="inlineStr">
        <is>
          <t>셀프 ~₩267,000 / 변리사 50~80만</t>
        </is>
      </c>
      <c r="G17" s="14" t="inlineStr">
        <is>
          <t>https://www.patent.go.kr/</t>
        </is>
      </c>
      <c r="H17" s="13" t="inlineStr">
        <is>
          <t>admin@triggersoft</t>
        </is>
      </c>
      <c r="I17" s="15" t="inlineStr">
        <is>
          <t>대기</t>
        </is>
      </c>
      <c r="J17" s="16" t="inlineStr">
        <is>
          <t>2026-06-09</t>
        </is>
      </c>
      <c r="K17" s="16" t="inlineStr">
        <is>
          <t>심사 6~12개월</t>
        </is>
      </c>
      <c r="L17" s="13" t="inlineStr"/>
    </row>
    <row r="18">
      <c r="A18" s="17" t="n">
        <v>2</v>
      </c>
      <c r="B18" s="13" t="inlineStr">
        <is>
          <t>소셜로그인</t>
        </is>
      </c>
      <c r="C18" s="13" t="inlineStr">
        <is>
          <t>카카오 로그인</t>
        </is>
      </c>
      <c r="D18" s="13" t="inlineStr">
        <is>
          <t>Kakao</t>
        </is>
      </c>
      <c r="E18" s="13" t="inlineStr">
        <is>
          <t>필수</t>
        </is>
      </c>
      <c r="F18" s="13" t="inlineStr">
        <is>
          <t>무료</t>
        </is>
      </c>
      <c r="G18" s="14" t="inlineStr">
        <is>
          <t>https://developers.kakao.com/</t>
        </is>
      </c>
      <c r="H18" s="13" t="inlineStr">
        <is>
          <t>info@pathwave</t>
        </is>
      </c>
      <c r="I18" s="15" t="inlineStr">
        <is>
          <t>대기</t>
        </is>
      </c>
      <c r="J18" s="16" t="inlineStr">
        <is>
          <t>2026-06-02</t>
        </is>
      </c>
      <c r="K18" s="16" t="inlineStr">
        <is>
          <t>2026-06-16</t>
        </is>
      </c>
      <c r="L18" s="13" t="inlineStr">
        <is>
          <t>검수 1~2주</t>
        </is>
      </c>
    </row>
    <row r="19">
      <c r="A19" s="17" t="n">
        <v>2</v>
      </c>
      <c r="B19" s="13" t="inlineStr">
        <is>
          <t>소셜로그인</t>
        </is>
      </c>
      <c r="C19" s="13" t="inlineStr">
        <is>
          <t>네이버 로그인</t>
        </is>
      </c>
      <c r="D19" s="13" t="inlineStr">
        <is>
          <t>Naver</t>
        </is>
      </c>
      <c r="E19" s="13" t="inlineStr">
        <is>
          <t>필수</t>
        </is>
      </c>
      <c r="F19" s="13" t="inlineStr">
        <is>
          <t>무료</t>
        </is>
      </c>
      <c r="G19" s="14" t="inlineStr">
        <is>
          <t>https://developers.naver.com/</t>
        </is>
      </c>
      <c r="H19" s="13" t="inlineStr">
        <is>
          <t>info@pathwave</t>
        </is>
      </c>
      <c r="I19" s="15" t="inlineStr">
        <is>
          <t>대기</t>
        </is>
      </c>
      <c r="J19" s="16" t="inlineStr">
        <is>
          <t>2026-06-02</t>
        </is>
      </c>
      <c r="K19" s="16" t="inlineStr">
        <is>
          <t>2026-06-09</t>
        </is>
      </c>
      <c r="L19" s="13" t="inlineStr"/>
    </row>
    <row r="20">
      <c r="A20" s="17" t="n">
        <v>2</v>
      </c>
      <c r="B20" s="13" t="inlineStr">
        <is>
          <t>이메일 발송</t>
        </is>
      </c>
      <c r="C20" s="13" t="inlineStr">
        <is>
          <t>SendGrid (무료 → Essentials)</t>
        </is>
      </c>
      <c r="D20" s="13" t="inlineStr">
        <is>
          <t>Twilio</t>
        </is>
      </c>
      <c r="E20" s="13" t="inlineStr">
        <is>
          <t>필수</t>
        </is>
      </c>
      <c r="F20" s="13" t="inlineStr">
        <is>
          <t>무료 100통/일 · Essentials 50K/월 $19.95 (~₩30K)</t>
        </is>
      </c>
      <c r="G20" s="14" t="inlineStr">
        <is>
          <t>https://signup.sendgrid.com/</t>
        </is>
      </c>
      <c r="H20" s="13" t="inlineStr">
        <is>
          <t>dev@pathwave</t>
        </is>
      </c>
      <c r="I20" s="15" t="inlineStr">
        <is>
          <t>대기</t>
        </is>
      </c>
      <c r="J20" s="16" t="inlineStr">
        <is>
          <t>2026-06-02</t>
        </is>
      </c>
      <c r="K20" s="16" t="inlineStr">
        <is>
          <t>2026-06-03</t>
        </is>
      </c>
      <c r="L20" s="13" t="inlineStr">
        <is>
          <t>매장 100+ 시 유료 tier 필요</t>
        </is>
      </c>
    </row>
    <row r="21">
      <c r="A21" s="17" t="n">
        <v>2</v>
      </c>
      <c r="B21" s="13" t="inlineStr">
        <is>
          <t>모니터링</t>
        </is>
      </c>
      <c r="C21" s="13" t="inlineStr">
        <is>
          <t>Sentry (무료 또는 자체호스팅)</t>
        </is>
      </c>
      <c r="D21" s="13" t="inlineStr">
        <is>
          <t>Sentry</t>
        </is>
      </c>
      <c r="E21" s="13" t="inlineStr">
        <is>
          <t>필수</t>
        </is>
      </c>
      <c r="F21" s="13" t="inlineStr">
        <is>
          <t>무료 5K events/월 · self-hosted 무료</t>
        </is>
      </c>
      <c r="G21" s="14" t="inlineStr">
        <is>
          <t>https://sentry.io/signup/</t>
        </is>
      </c>
      <c r="H21" s="13" t="inlineStr">
        <is>
          <t>dev@pathwave</t>
        </is>
      </c>
      <c r="I21" s="15" t="inlineStr">
        <is>
          <t>대기</t>
        </is>
      </c>
      <c r="J21" s="16" t="inlineStr">
        <is>
          <t>2026-06-02</t>
        </is>
      </c>
      <c r="K21" s="16" t="inlineStr">
        <is>
          <t>2026-06-03</t>
        </is>
      </c>
      <c r="L21" s="13" t="inlineStr">
        <is>
          <t>대규모 시 자체 호스팅 Mac mini</t>
        </is>
      </c>
    </row>
    <row r="22">
      <c r="A22" s="17" t="n">
        <v>2</v>
      </c>
      <c r="B22" s="13" t="inlineStr">
        <is>
          <t>지도</t>
        </is>
      </c>
      <c r="C22" s="13" t="inlineStr">
        <is>
          <t>Google Maps API</t>
        </is>
      </c>
      <c r="D22" s="13" t="inlineStr">
        <is>
          <t>Google</t>
        </is>
      </c>
      <c r="E22" s="13" t="inlineStr">
        <is>
          <t>필수</t>
        </is>
      </c>
      <c r="F22" s="13" t="inlineStr">
        <is>
          <t>월 $200 무료 크레딧</t>
        </is>
      </c>
      <c r="G22" s="14" t="inlineStr">
        <is>
          <t>https://console.cloud.google.com/</t>
        </is>
      </c>
      <c r="H22" s="13" t="inlineStr">
        <is>
          <t>dev@pathwave</t>
        </is>
      </c>
      <c r="I22" s="15" t="inlineStr">
        <is>
          <t>대기</t>
        </is>
      </c>
      <c r="J22" s="16" t="inlineStr">
        <is>
          <t>2026-06-02</t>
        </is>
      </c>
      <c r="K22" s="16" t="inlineStr">
        <is>
          <t>2026-06-03</t>
        </is>
      </c>
      <c r="L22" s="13" t="inlineStr">
        <is>
          <t>카드 등록 필수</t>
        </is>
      </c>
    </row>
    <row r="23">
      <c r="A23" s="18" t="n">
        <v>3</v>
      </c>
      <c r="B23" s="13" t="inlineStr">
        <is>
          <t>SMS 인증(옵션)</t>
        </is>
      </c>
      <c r="C23" s="13" t="inlineStr">
        <is>
          <t>솔라피 SMS</t>
        </is>
      </c>
      <c r="D23" s="13" t="inlineStr">
        <is>
          <t>Solapi</t>
        </is>
      </c>
      <c r="E23" s="13" t="inlineStr">
        <is>
          <t>선택</t>
        </is>
      </c>
      <c r="F23" s="13" t="inlineStr">
        <is>
          <t>건당 8~15원 (LMS 28~35원) · 사용량 기반</t>
        </is>
      </c>
      <c r="G23" s="14" t="inlineStr">
        <is>
          <t>https://solapi.com/</t>
        </is>
      </c>
      <c r="H23" s="13" t="inlineStr">
        <is>
          <t>dev@pathwave</t>
        </is>
      </c>
      <c r="I23" s="15" t="inlineStr">
        <is>
          <t>대기</t>
        </is>
      </c>
      <c r="J23" s="16" t="inlineStr">
        <is>
          <t>대안</t>
        </is>
      </c>
      <c r="K23" s="16" t="inlineStr"/>
      <c r="L23" s="13" t="inlineStr">
        <is>
          <t>이메일 인증으로 대체 가능 — 매장 100+ 시 도입</t>
        </is>
      </c>
    </row>
    <row r="24">
      <c r="A24" s="18" t="n">
        <v>3</v>
      </c>
      <c r="B24" s="13" t="inlineStr">
        <is>
          <t>알림톡(옵션)</t>
        </is>
      </c>
      <c r="C24" s="13" t="inlineStr">
        <is>
          <t>솔라피 알림톡</t>
        </is>
      </c>
      <c r="D24" s="13" t="inlineStr">
        <is>
          <t>Solapi</t>
        </is>
      </c>
      <c r="E24" s="13" t="inlineStr">
        <is>
          <t>선택</t>
        </is>
      </c>
      <c r="F24" s="13" t="inlineStr">
        <is>
          <t>건당 7~9원 · 카카오톡 채널 필요</t>
        </is>
      </c>
      <c r="G24" s="14" t="inlineStr">
        <is>
          <t>https://solapi.com/</t>
        </is>
      </c>
      <c r="H24" s="13" t="inlineStr">
        <is>
          <t>dev@pathwave</t>
        </is>
      </c>
      <c r="I24" s="15" t="inlineStr">
        <is>
          <t>대기</t>
        </is>
      </c>
      <c r="J24" s="16" t="inlineStr">
        <is>
          <t>대안</t>
        </is>
      </c>
      <c r="K24" s="16" t="inlineStr"/>
      <c r="L24" s="13" t="inlineStr">
        <is>
          <t>⚠ 자체 앱 푸시 + 이메일로 대체 가능 — 외부 의존 줄이려면 미도입</t>
        </is>
      </c>
    </row>
    <row r="25">
      <c r="A25" s="18" t="n">
        <v>3</v>
      </c>
      <c r="B25" s="13" t="inlineStr">
        <is>
          <t>본인인증</t>
        </is>
      </c>
      <c r="C25" s="13" t="inlineStr">
        <is>
          <t>NICE / KCB / PASS</t>
        </is>
      </c>
      <c r="D25" s="13" t="inlineStr">
        <is>
          <t>본인인증 사업자</t>
        </is>
      </c>
      <c r="E25" s="13" t="inlineStr">
        <is>
          <t>선택</t>
        </is>
      </c>
      <c r="F25" s="13" t="inlineStr">
        <is>
          <t>보증금 ~10만원 + 건당 30~80원</t>
        </is>
      </c>
      <c r="G25" s="14" t="inlineStr">
        <is>
          <t>https://www.niceinfo.co.kr/</t>
        </is>
      </c>
      <c r="H25" s="13" t="inlineStr">
        <is>
          <t>admin@pathwave</t>
        </is>
      </c>
      <c r="I25" s="15" t="inlineStr">
        <is>
          <t>대기</t>
        </is>
      </c>
      <c r="J25" s="16" t="inlineStr">
        <is>
          <t>6/말~7/중</t>
        </is>
      </c>
      <c r="K25" s="16" t="inlineStr"/>
      <c r="L25" s="13" t="inlineStr">
        <is>
          <t>미성년자 확인 (대체 불가)</t>
        </is>
      </c>
    </row>
    <row r="26">
      <c r="A26" s="18" t="n">
        <v>3</v>
      </c>
      <c r="B26" s="13" t="inlineStr">
        <is>
          <t>번역</t>
        </is>
      </c>
      <c r="C26" s="13" t="inlineStr">
        <is>
          <t>DeepL Pro</t>
        </is>
      </c>
      <c r="D26" s="13" t="inlineStr">
        <is>
          <t>DeepL</t>
        </is>
      </c>
      <c r="E26" s="13" t="inlineStr">
        <is>
          <t>선택</t>
        </is>
      </c>
      <c r="F26" s="13" t="inlineStr">
        <is>
          <t>무료 500K chars/월 · Starter ~€5/월</t>
        </is>
      </c>
      <c r="G26" s="14" t="inlineStr">
        <is>
          <t>https://www.deepl.com/pro</t>
        </is>
      </c>
      <c r="H26" s="13" t="inlineStr">
        <is>
          <t>dev@pathwave</t>
        </is>
      </c>
      <c r="I26" s="15" t="inlineStr">
        <is>
          <t>대기</t>
        </is>
      </c>
      <c r="J26" s="16" t="inlineStr">
        <is>
          <t>2026-07-초</t>
        </is>
      </c>
      <c r="K26" s="16" t="inlineStr">
        <is>
          <t>2026-07-중</t>
        </is>
      </c>
      <c r="L26" s="13" t="inlineStr">
        <is>
          <t>P8b 채팅 자동번역 USP</t>
        </is>
      </c>
    </row>
    <row r="27">
      <c r="A27" s="18" t="n">
        <v>3</v>
      </c>
      <c r="B27" s="13" t="inlineStr">
        <is>
          <t>자동화(자체)</t>
        </is>
      </c>
      <c r="C27" s="13" t="inlineStr">
        <is>
          <t>챗봇·이메일·SNS 게시 — Mac mini 자체구축</t>
        </is>
      </c>
      <c r="D27" s="13" t="inlineStr">
        <is>
          <t>Mac mini</t>
        </is>
      </c>
      <c r="E27" s="13" t="inlineStr">
        <is>
          <t>필수</t>
        </is>
      </c>
      <c r="F27" s="13" t="inlineStr">
        <is>
          <t>월 ₩0 (전기 + 개발 시간)</t>
        </is>
      </c>
      <c r="G27" s="13" t="inlineStr">
        <is>
          <t>—</t>
        </is>
      </c>
      <c r="H27" s="13" t="inlineStr">
        <is>
          <t>dev@pathwave</t>
        </is>
      </c>
      <c r="I27" s="15" t="inlineStr">
        <is>
          <t>대기</t>
        </is>
      </c>
      <c r="J27" s="16" t="inlineStr">
        <is>
          <t>출시 후</t>
        </is>
      </c>
      <c r="K27" s="16" t="inlineStr"/>
      <c r="L27" s="13" t="inlineStr">
        <is>
          <t>메모리 권장 — Python 스크립트 + cron + 카카오 i 오픈빌더 webhook</t>
        </is>
      </c>
    </row>
    <row r="28">
      <c r="A28" s="18" t="n">
        <v>3</v>
      </c>
      <c r="B28" s="13" t="inlineStr">
        <is>
          <t>자동화(옵션)</t>
        </is>
      </c>
      <c r="C28" s="13" t="inlineStr">
        <is>
          <t>ChatGPT API (소규모 AI 응답)</t>
        </is>
      </c>
      <c r="D28" s="13" t="inlineStr">
        <is>
          <t>OpenAI</t>
        </is>
      </c>
      <c r="E28" s="13" t="inlineStr">
        <is>
          <t>선택</t>
        </is>
      </c>
      <c r="F28" s="13" t="inlineStr">
        <is>
          <t>$0.15~3/M tokens (사용량)</t>
        </is>
      </c>
      <c r="G28" s="14" t="inlineStr">
        <is>
          <t>https://platform.openai.com/signup</t>
        </is>
      </c>
      <c r="H28" s="13" t="inlineStr">
        <is>
          <t>dev@pathwave</t>
        </is>
      </c>
      <c r="I28" s="15" t="inlineStr">
        <is>
          <t>대기</t>
        </is>
      </c>
      <c r="J28" s="16" t="inlineStr">
        <is>
          <t>대안</t>
        </is>
      </c>
      <c r="K28" s="16" t="inlineStr"/>
      <c r="L28" s="13" t="inlineStr">
        <is>
          <t>Mac mini Llama 양자화 자체 LLM 대체 가능</t>
        </is>
      </c>
    </row>
    <row r="29">
      <c r="A29" s="18" t="n">
        <v>3</v>
      </c>
      <c r="B29" s="13" t="inlineStr">
        <is>
          <t>자동화(옵션)</t>
        </is>
      </c>
      <c r="C29" s="13" t="inlineStr">
        <is>
          <t>Twilio Voice (AI 음성)</t>
        </is>
      </c>
      <c r="D29" s="13" t="inlineStr">
        <is>
          <t>Twilio</t>
        </is>
      </c>
      <c r="E29" s="13" t="inlineStr">
        <is>
          <t>선택</t>
        </is>
      </c>
      <c r="F29" s="13" t="inlineStr">
        <is>
          <t>분당 100~500원</t>
        </is>
      </c>
      <c r="G29" s="14" t="inlineStr">
        <is>
          <t>https://www.twilio.com/</t>
        </is>
      </c>
      <c r="H29" s="13" t="inlineStr">
        <is>
          <t>admin@pathwave</t>
        </is>
      </c>
      <c r="I29" s="15" t="inlineStr">
        <is>
          <t>대기</t>
        </is>
      </c>
      <c r="J29" s="16" t="inlineStr">
        <is>
          <t>+3개월</t>
        </is>
      </c>
      <c r="K29" s="16" t="inlineStr"/>
      <c r="L29" s="13" t="inlineStr">
        <is>
          <t>Stage 2 — 070 회선 후 도입</t>
        </is>
      </c>
    </row>
  </sheetData>
  <dataValidations count="1">
    <dataValidation sqref="I2:I29" showDropDown="0" showInputMessage="0" showErrorMessage="0" allowBlank="1" type="list">
      <formula1>"대기,신청중,검수중,활성,대안,보류"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8" r:id="rId26"/>
    <hyperlink xmlns:r="http://schemas.openxmlformats.org/officeDocument/2006/relationships" ref="G29" r:id="rId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2" customWidth="1" min="3" max="3"/>
    <col width="50" customWidth="1" min="4" max="4"/>
  </cols>
  <sheetData>
    <row r="1">
      <c r="A1" s="1" t="inlineStr">
        <is>
          <t>초기 세팅비 — 출시 전 1회성 / 연 1회 (월별 시트에 분산 안 함)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1" t="inlineStr">
        <is>
          <t>항목</t>
        </is>
      </c>
      <c r="B3" s="11" t="inlineStr">
        <is>
          <t>금액 (₩)</t>
        </is>
      </c>
      <c r="C3" s="11" t="inlineStr">
        <is>
          <t>주기</t>
        </is>
      </c>
      <c r="D3" s="11" t="inlineStr">
        <is>
          <t>비고</t>
        </is>
      </c>
    </row>
    <row r="4">
      <c r="A4" s="13" t="inlineStr">
        <is>
          <t>D-U-N-S 번호 신청 (한국기업데이터)</t>
        </is>
      </c>
      <c r="B4" s="19" t="n">
        <v>0</v>
      </c>
      <c r="C4" s="13" t="inlineStr">
        <is>
          <t>일회성</t>
        </is>
      </c>
      <c r="D4" s="13" t="inlineStr">
        <is>
          <t>무료 — Apple 법인 가입 선행, 5~10영업일</t>
        </is>
      </c>
    </row>
    <row r="5">
      <c r="A5" s="13" t="inlineStr">
        <is>
          <t>Apple Developer Program — 첫 회비</t>
        </is>
      </c>
      <c r="B5" s="19" t="n">
        <v>148500</v>
      </c>
      <c r="C5" s="13" t="inlineStr">
        <is>
          <t>연 1회</t>
        </is>
      </c>
      <c r="D5" s="13" t="inlineStr">
        <is>
          <t>$99 × 1500</t>
        </is>
      </c>
    </row>
    <row r="6">
      <c r="A6" s="13" t="inlineStr">
        <is>
          <t>Google Play Console — 등록비</t>
        </is>
      </c>
      <c r="B6" s="19" t="n">
        <v>37500</v>
      </c>
      <c r="C6" s="13" t="inlineStr">
        <is>
          <t>일회성</t>
        </is>
      </c>
      <c r="D6" s="13" t="inlineStr">
        <is>
          <t>$25 일회성</t>
        </is>
      </c>
    </row>
    <row r="7">
      <c r="A7" s="13" t="inlineStr">
        <is>
          <t>도메인 — pathwave.co.kr</t>
        </is>
      </c>
      <c r="B7" s="19" t="n">
        <v>30000</v>
      </c>
      <c r="C7" s="13" t="inlineStr">
        <is>
          <t>연 1회</t>
        </is>
      </c>
      <c r="D7" s="13" t="inlineStr">
        <is>
          <t>서비스 도메인 (가비아)</t>
        </is>
      </c>
    </row>
    <row r="8">
      <c r="A8" s="13" t="inlineStr">
        <is>
          <t>도메인 — triggersoft.kr</t>
        </is>
      </c>
      <c r="B8" s="19" t="n">
        <v>30000</v>
      </c>
      <c r="C8" s="13" t="inlineStr">
        <is>
          <t>연 1회</t>
        </is>
      </c>
      <c r="D8" s="13" t="inlineStr">
        <is>
          <t>법인 도메인 (가비아)</t>
        </is>
      </c>
    </row>
    <row r="9">
      <c r="A9" s="13" t="inlineStr">
        <is>
          <t>상표등록 — 패스웨이브 (셀프 출원)</t>
        </is>
      </c>
      <c r="B9" s="19" t="n">
        <v>267000</v>
      </c>
      <c r="C9" s="13" t="inlineStr">
        <is>
          <t>일회성</t>
        </is>
      </c>
      <c r="D9" s="13" t="inlineStr">
        <is>
          <t>출원 56,000 + 등록 211,000 (10년 갱신)</t>
        </is>
      </c>
    </row>
    <row r="10">
      <c r="A10" s="13" t="inlineStr">
        <is>
          <t>상표등록 — 트리거소프트 (셀프 출원)</t>
        </is>
      </c>
      <c r="B10" s="19" t="n">
        <v>267000</v>
      </c>
      <c r="C10" s="13" t="inlineStr">
        <is>
          <t>일회성</t>
        </is>
      </c>
      <c r="D10" s="13" t="inlineStr">
        <is>
          <t>법인명 상표</t>
        </is>
      </c>
    </row>
    <row r="11">
      <c r="A11" s="13" t="inlineStr">
        <is>
          <t>Mac mini M1 16GB 중고 (운영 베이스)</t>
        </is>
      </c>
      <c r="B11" s="19" t="n">
        <v>800000</v>
      </c>
      <c r="C11" s="13" t="inlineStr">
        <is>
          <t>일회성</t>
        </is>
      </c>
      <c r="D11" s="13" t="inlineStr">
        <is>
          <t>자체 호스팅 + 자동화 — 메모리 권장</t>
        </is>
      </c>
    </row>
    <row r="12">
      <c r="A12" s="13" t="inlineStr">
        <is>
          <t>Mac mini 주변기기 (외장 SSD)</t>
        </is>
      </c>
      <c r="B12" s="19" t="n">
        <v>80000</v>
      </c>
      <c r="C12" s="13" t="inlineStr">
        <is>
          <t>일회성</t>
        </is>
      </c>
      <c r="D12" s="13" t="inlineStr">
        <is>
          <t>Mac mini 옵션</t>
        </is>
      </c>
    </row>
    <row r="13">
      <c r="A13" s="13" t="inlineStr">
        <is>
          <t>NICE 본인인증 — 보증금 (선택)</t>
        </is>
      </c>
      <c r="B13" s="19" t="n">
        <v>100000</v>
      </c>
      <c r="C13" s="13" t="inlineStr">
        <is>
          <t>일회성</t>
        </is>
      </c>
      <c r="D13" s="13" t="inlineStr">
        <is>
          <t>미성년자 확인 도입 시</t>
        </is>
      </c>
    </row>
    <row r="14">
      <c r="A14" s="13" t="inlineStr">
        <is>
          <t>카카오 / 네이버 로그인 검수</t>
        </is>
      </c>
      <c r="B14" s="19" t="n">
        <v>0</v>
      </c>
      <c r="C14" s="13" t="inlineStr">
        <is>
          <t>일회성</t>
        </is>
      </c>
      <c r="D14" s="13" t="inlineStr">
        <is>
          <t>무료, 1~2주</t>
        </is>
      </c>
    </row>
    <row r="15">
      <c r="A15" s="13" t="inlineStr">
        <is>
          <t>솔라피 알림톡 템플릿 등록 (도입 시)</t>
        </is>
      </c>
      <c r="B15" s="19" t="n">
        <v>0</v>
      </c>
      <c r="C15" s="13" t="inlineStr">
        <is>
          <t>일회성</t>
        </is>
      </c>
      <c r="D15" s="13" t="inlineStr">
        <is>
          <t>무료, 1~2주</t>
        </is>
      </c>
    </row>
    <row r="16">
      <c r="A16" s="13" t="inlineStr">
        <is>
          <t>토스페이먼츠 가맹점 가입</t>
        </is>
      </c>
      <c r="B16" s="19" t="n">
        <v>0</v>
      </c>
      <c r="C16" s="13" t="inlineStr">
        <is>
          <t>일회성</t>
        </is>
      </c>
      <c r="D16" s="13" t="inlineStr">
        <is>
          <t>무료, 심사 1~2주</t>
        </is>
      </c>
    </row>
    <row r="17">
      <c r="A17" s="13" t="inlineStr">
        <is>
          <t>사업자등록 / 통신판매업 / 위치기반신고</t>
        </is>
      </c>
      <c r="B17" s="19" t="n">
        <v>0</v>
      </c>
      <c r="C17" s="13" t="inlineStr">
        <is>
          <t>일회성</t>
        </is>
      </c>
      <c r="D17" s="13" t="inlineStr">
        <is>
          <t>무료</t>
        </is>
      </c>
    </row>
    <row r="18">
      <c r="A18" s="13" t="inlineStr">
        <is>
          <t>Cloudflare / Firebase / Sentry 가입</t>
        </is>
      </c>
      <c r="B18" s="19" t="n">
        <v>0</v>
      </c>
      <c r="C18" s="13" t="inlineStr">
        <is>
          <t>일회성</t>
        </is>
      </c>
      <c r="D18" s="13" t="inlineStr">
        <is>
          <t>무료</t>
        </is>
      </c>
    </row>
    <row r="19">
      <c r="A19" s="20" t="inlineStr">
        <is>
          <t>소계 — 필수만 (Mac mini·NICE 제외)</t>
        </is>
      </c>
      <c r="B19" s="21">
        <f>SUM(B4:B9)+B14+SUM(B15:B18)</f>
        <v/>
      </c>
      <c r="C19" s="13" t="inlineStr"/>
      <c r="D19" s="13" t="inlineStr">
        <is>
          <t>Apple/Play/도메인/상표만</t>
        </is>
      </c>
    </row>
    <row r="20">
      <c r="A20" s="20" t="inlineStr">
        <is>
          <t>소계 — Mac mini 포함 (메모리 권장)</t>
        </is>
      </c>
      <c r="B20" s="21">
        <f>SUM(B4:B9)+SUM(B11:B12)+B14+SUM(B15:B18)</f>
        <v/>
      </c>
      <c r="C20" s="13" t="inlineStr"/>
      <c r="D20" s="13" t="inlineStr">
        <is>
          <t>+ Mac mini 880,000</t>
        </is>
      </c>
    </row>
    <row r="21">
      <c r="A21" s="20" t="inlineStr">
        <is>
          <t>소계 — 전체 (옵션 모두 포함)</t>
        </is>
      </c>
      <c r="B21" s="21">
        <f>SUM(B4:B18)</f>
        <v/>
      </c>
      <c r="C21" s="13" t="inlineStr"/>
      <c r="D21" s="13" t="inlineStr">
        <is>
          <t>+ NICE 100,000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38" customWidth="1" min="6" max="6"/>
  </cols>
  <sheetData>
    <row r="1">
      <c r="A1" s="1" t="inlineStr">
        <is>
          <t>월별 운영비 시나리오 — 매장 수 기반 (자체구축 우선, 외부는 옵션)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2" t="inlineStr">
        <is>
          <t>매장당 평균 사용자 (가정)</t>
        </is>
      </c>
      <c r="B3" s="23" t="n">
        <v>300</v>
      </c>
      <c r="C3" s="2" t="inlineStr"/>
      <c r="D3" s="22" t="inlineStr">
        <is>
          <t>매장당 매출 (가정, ₩/월)</t>
        </is>
      </c>
      <c r="E3" s="24" t="n">
        <v>10000</v>
      </c>
      <c r="F3" s="2" t="inlineStr"/>
    </row>
    <row r="4">
      <c r="A4" s="22" t="inlineStr">
        <is>
          <t>매장당 비콘 개수 (가정)</t>
        </is>
      </c>
      <c r="B4" s="23" t="n">
        <v>2</v>
      </c>
      <c r="C4" s="2" t="inlineStr"/>
      <c r="D4" s="22" t="inlineStr">
        <is>
          <t>비콘 단가 (₩/개, 배송 포함)</t>
        </is>
      </c>
      <c r="E4" s="24" t="n">
        <v>10000</v>
      </c>
      <c r="F4" s="2" t="inlineStr"/>
    </row>
    <row r="5">
      <c r="A5" s="2" t="n"/>
      <c r="B5" s="2" t="n"/>
      <c r="C5" s="2" t="n"/>
      <c r="D5" s="2" t="n"/>
      <c r="E5" s="2" t="n"/>
      <c r="F5" s="2" t="n"/>
    </row>
    <row r="6">
      <c r="A6" s="11" t="inlineStr">
        <is>
          <t>항목</t>
        </is>
      </c>
      <c r="B6" s="11" t="inlineStr">
        <is>
          <t>매장 10 (초기)</t>
        </is>
      </c>
      <c r="C6" s="11" t="inlineStr">
        <is>
          <t>매장 10,000 (Y1 목표)</t>
        </is>
      </c>
      <c r="D6" s="11" t="inlineStr">
        <is>
          <t>매장 30,000 (Y2~3)</t>
        </is>
      </c>
      <c r="E6" s="11" t="inlineStr">
        <is>
          <t>매장 70,000 (Y3+)</t>
        </is>
      </c>
      <c r="F6" s="11" t="inlineStr">
        <is>
          <t>비고</t>
        </is>
      </c>
    </row>
    <row r="7">
      <c r="A7" s="25" t="inlineStr">
        <is>
          <t>매장 수</t>
        </is>
      </c>
      <c r="B7" s="26" t="n">
        <v>10</v>
      </c>
      <c r="C7" s="26" t="n">
        <v>10000</v>
      </c>
      <c r="D7" s="26" t="n">
        <v>30000</v>
      </c>
      <c r="E7" s="26" t="n">
        <v>70000</v>
      </c>
      <c r="F7" s="13" t="inlineStr"/>
    </row>
    <row r="8">
      <c r="A8" s="25" t="inlineStr">
        <is>
          <t>MAU (매장×평균)</t>
        </is>
      </c>
      <c r="B8" s="27">
        <f>B7*$B$3</f>
        <v/>
      </c>
      <c r="C8" s="27">
        <f>C7*$B$3</f>
        <v/>
      </c>
      <c r="D8" s="27">
        <f>D7*$B$3</f>
        <v/>
      </c>
      <c r="E8" s="27">
        <f>E7*$B$3</f>
        <v/>
      </c>
      <c r="F8" s="13" t="inlineStr"/>
    </row>
    <row r="9">
      <c r="A9" s="25" t="inlineStr">
        <is>
          <t>월 매출 (매장×매장당매출)</t>
        </is>
      </c>
      <c r="B9" s="28">
        <f>B7*$E$3</f>
        <v/>
      </c>
      <c r="C9" s="28">
        <f>C7*$E$3</f>
        <v/>
      </c>
      <c r="D9" s="28">
        <f>D7*$E$3</f>
        <v/>
      </c>
      <c r="E9" s="28">
        <f>E7*$E$3</f>
        <v/>
      </c>
      <c r="F9" s="13" t="inlineStr"/>
    </row>
    <row r="10">
      <c r="A10" s="25" t="inlineStr">
        <is>
          <t>비콘 누적 CAPEX (매장×개수×단가)</t>
        </is>
      </c>
      <c r="B10" s="29">
        <f>B7*$B$4*$E$4</f>
        <v/>
      </c>
      <c r="C10" s="29">
        <f>C7*$B$4*$E$4</f>
        <v/>
      </c>
      <c r="D10" s="29">
        <f>D7*$B$4*$E$4</f>
        <v/>
      </c>
      <c r="E10" s="29">
        <f>E7*$B$4*$E$4</f>
        <v/>
      </c>
      <c r="F10" s="13" t="inlineStr">
        <is>
          <t>매장 가입 시 1회 — 매장당 매출 ₩10K 기준 2개월 회수</t>
        </is>
      </c>
    </row>
    <row r="11">
      <c r="A11" s="13" t="inlineStr">
        <is>
          <t>서버 (Mac mini 자체, 전기)</t>
        </is>
      </c>
      <c r="B11" s="19" t="n">
        <v>3000</v>
      </c>
      <c r="C11" s="19" t="n">
        <v>3000</v>
      </c>
      <c r="D11" s="19" t="n">
        <v>3000</v>
      </c>
      <c r="E11" s="19" t="n">
        <v>3000</v>
      </c>
      <c r="F11" s="13" t="inlineStr">
        <is>
          <t>메모리 권장 — Cloudflare Tunnel</t>
        </is>
      </c>
    </row>
    <row r="12">
      <c r="A12" s="13" t="inlineStr">
        <is>
          <t>서버 확장 (대안: 가비아/VPS)</t>
        </is>
      </c>
      <c r="B12" s="19" t="n">
        <v>0</v>
      </c>
      <c r="C12" s="19" t="n">
        <v>0</v>
      </c>
      <c r="D12" s="19" t="n">
        <v>30000</v>
      </c>
      <c r="E12" s="19" t="n">
        <v>100000</v>
      </c>
      <c r="F12" s="13" t="inlineStr">
        <is>
          <t>매장 500+ 시 부하 분산 필요 시</t>
        </is>
      </c>
    </row>
    <row r="13">
      <c r="A13" s="13" t="inlineStr">
        <is>
          <t>도메인 (2개 × 월할)</t>
        </is>
      </c>
      <c r="B13" s="19" t="n">
        <v>5000</v>
      </c>
      <c r="C13" s="19" t="n">
        <v>5000</v>
      </c>
      <c r="D13" s="19" t="n">
        <v>5000</v>
      </c>
      <c r="E13" s="19" t="n">
        <v>5000</v>
      </c>
      <c r="F13" s="13" t="inlineStr">
        <is>
          <t>pathwave + triggersoft</t>
        </is>
      </c>
    </row>
    <row r="14">
      <c r="A14" s="13" t="inlineStr">
        <is>
          <t>Workspace (2계정 × $7 = ₩21K)</t>
        </is>
      </c>
      <c r="B14" s="19" t="n">
        <v>21000</v>
      </c>
      <c r="C14" s="19" t="n">
        <v>21000</v>
      </c>
      <c r="D14" s="19" t="n">
        <v>21000</v>
      </c>
      <c r="E14" s="19" t="n">
        <v>21000</v>
      </c>
      <c r="F14" s="13" t="inlineStr"/>
    </row>
    <row r="15">
      <c r="A15" s="13" t="inlineStr">
        <is>
          <t>이메일 (SendGrid)</t>
        </is>
      </c>
      <c r="B15" s="19" t="n">
        <v>0</v>
      </c>
      <c r="C15" s="19" t="n">
        <v>30000</v>
      </c>
      <c r="D15" s="19" t="n">
        <v>30000</v>
      </c>
      <c r="E15" s="19" t="n">
        <v>135000</v>
      </c>
      <c r="F15" s="13" t="inlineStr">
        <is>
          <t>무료→Essentials $20→Pro $90 (매장 1K=10K통/월 이상)</t>
        </is>
      </c>
    </row>
    <row r="16">
      <c r="A16" s="13" t="inlineStr">
        <is>
          <t>SMS 인증 (옵션 — 이메일 인증 대체 가능)</t>
        </is>
      </c>
      <c r="B16" s="19" t="n">
        <v>0</v>
      </c>
      <c r="C16" s="19" t="n">
        <v>5000</v>
      </c>
      <c r="D16" s="19" t="n">
        <v>30000</v>
      </c>
      <c r="E16" s="19" t="n">
        <v>60000</v>
      </c>
      <c r="F16" s="13" t="inlineStr">
        <is>
          <t>솔라피 — 또는 이메일 인증으로 대체</t>
        </is>
      </c>
    </row>
    <row r="17">
      <c r="A17" s="13" t="inlineStr">
        <is>
          <t>알림톡 (옵션 — 자체 푸시로 대체 가능)</t>
        </is>
      </c>
      <c r="B17" s="19" t="n">
        <v>0</v>
      </c>
      <c r="C17" s="19" t="n">
        <v>0</v>
      </c>
      <c r="D17" s="19" t="n">
        <v>0</v>
      </c>
      <c r="E17" s="19" t="n">
        <v>0</v>
      </c>
      <c r="F17" s="13" t="inlineStr">
        <is>
          <t>⚠ 카카오톡 채널 운영 시만 — 자체 푸시/이메일이면 0</t>
        </is>
      </c>
    </row>
    <row r="18">
      <c r="A18" s="13" t="inlineStr">
        <is>
          <t>Firebase Auth (10K MAU 무료)</t>
        </is>
      </c>
      <c r="B18" s="19" t="n">
        <v>0</v>
      </c>
      <c r="C18" s="19" t="n">
        <v>0</v>
      </c>
      <c r="D18" s="19" t="n">
        <v>0</v>
      </c>
      <c r="E18" s="19" t="n">
        <v>50000</v>
      </c>
      <c r="F18" s="13" t="inlineStr">
        <is>
          <t>매장 1K(MAU 50K)에서 일부 유료</t>
        </is>
      </c>
    </row>
    <row r="19">
      <c r="A19" s="13" t="inlineStr">
        <is>
          <t>Google Maps (월 $200 무료)</t>
        </is>
      </c>
      <c r="B19" s="19" t="n">
        <v>0</v>
      </c>
      <c r="C19" s="19" t="n">
        <v>0</v>
      </c>
      <c r="D19" s="19" t="n">
        <v>0</v>
      </c>
      <c r="E19" s="19" t="n">
        <v>30000</v>
      </c>
      <c r="F19" s="13" t="inlineStr">
        <is>
          <t>대규모 트래픽 시 초과분</t>
        </is>
      </c>
    </row>
    <row r="20">
      <c r="A20" s="13" t="inlineStr">
        <is>
          <t>모니터링 (Sentry 무료 / 자체)</t>
        </is>
      </c>
      <c r="B20" s="19" t="n">
        <v>0</v>
      </c>
      <c r="C20" s="19" t="n">
        <v>0</v>
      </c>
      <c r="D20" s="19" t="n">
        <v>0</v>
      </c>
      <c r="E20" s="19" t="n">
        <v>50000</v>
      </c>
      <c r="F20" s="13" t="inlineStr">
        <is>
          <t>자체 호스팅 시 0</t>
        </is>
      </c>
    </row>
    <row r="21">
      <c r="A21" s="13" t="inlineStr">
        <is>
          <t>번역 API (P8b)</t>
        </is>
      </c>
      <c r="B21" s="19" t="n">
        <v>0</v>
      </c>
      <c r="C21" s="19" t="n">
        <v>0</v>
      </c>
      <c r="D21" s="19" t="n">
        <v>30000</v>
      </c>
      <c r="E21" s="19" t="n">
        <v>100000</v>
      </c>
      <c r="F21" s="13" t="inlineStr">
        <is>
          <t>DeepL — 채팅 자동 번역</t>
        </is>
      </c>
    </row>
    <row r="22">
      <c r="A22" s="13" t="inlineStr">
        <is>
          <t>자동화 (Mac mini 자체)</t>
        </is>
      </c>
      <c r="B22" s="19" t="n">
        <v>0</v>
      </c>
      <c r="C22" s="19" t="n">
        <v>0</v>
      </c>
      <c r="D22" s="19" t="n">
        <v>0</v>
      </c>
      <c r="E22" s="19" t="n">
        <v>0</v>
      </c>
      <c r="F22" s="13" t="inlineStr">
        <is>
          <t>메모리 — Python 스크립트</t>
        </is>
      </c>
    </row>
    <row r="23">
      <c r="A23" s="20" t="inlineStr">
        <is>
          <t>월 운영비 합계</t>
        </is>
      </c>
      <c r="B23" s="21">
        <f>SUM(B11:B22)</f>
        <v/>
      </c>
      <c r="C23" s="21">
        <f>SUM(C11:C22)</f>
        <v/>
      </c>
      <c r="D23" s="21">
        <f>SUM(D11:D22)</f>
        <v/>
      </c>
      <c r="E23" s="21">
        <f>SUM(E11:E22)</f>
        <v/>
      </c>
      <c r="F23" s="13" t="inlineStr"/>
    </row>
    <row r="24">
      <c r="A24" s="30" t="inlineStr">
        <is>
          <t>월 손익 (매출 − 비용)</t>
        </is>
      </c>
      <c r="B24" s="31">
        <f>B9-B23</f>
        <v/>
      </c>
      <c r="C24" s="31">
        <f>C9-C23</f>
        <v/>
      </c>
      <c r="D24" s="31">
        <f>D9-D23</f>
        <v/>
      </c>
      <c r="E24" s="31">
        <f>E9-E23</f>
        <v/>
      </c>
      <c r="F24" s="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손익분기점 — 매장 수가 매출 단위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시나리오</t>
        </is>
      </c>
      <c r="B3" s="3" t="inlineStr">
        <is>
          <t>월 운영비</t>
        </is>
      </c>
      <c r="C3" s="3" t="inlineStr">
        <is>
          <t>매장 수 (실제)</t>
        </is>
      </c>
      <c r="D3" s="3" t="inlineStr">
        <is>
          <t>월 매출</t>
        </is>
      </c>
      <c r="E3" s="3" t="inlineStr">
        <is>
          <t>월 손익</t>
        </is>
      </c>
    </row>
    <row r="4">
      <c r="A4" s="4" t="inlineStr">
        <is>
          <t>매장 10 (초기)</t>
        </is>
      </c>
      <c r="B4" s="5">
        <f>'월별 운영비 시나리오'!B23</f>
        <v/>
      </c>
      <c r="C4" s="32" t="n">
        <v>10</v>
      </c>
      <c r="D4" s="6">
        <f>C4*'월별 운영비 시나리오'!$E$3</f>
        <v/>
      </c>
      <c r="E4" s="8">
        <f>D4-B4</f>
        <v/>
      </c>
    </row>
    <row r="5">
      <c r="A5" s="4" t="inlineStr">
        <is>
          <t>매장 10,000 (Y1 목표)</t>
        </is>
      </c>
      <c r="B5" s="5">
        <f>'월별 운영비 시나리오'!C23</f>
        <v/>
      </c>
      <c r="C5" s="32" t="n">
        <v>10000</v>
      </c>
      <c r="D5" s="6">
        <f>C5*'월별 운영비 시나리오'!$E$3</f>
        <v/>
      </c>
      <c r="E5" s="8">
        <f>D5-B5</f>
        <v/>
      </c>
    </row>
    <row r="6">
      <c r="A6" s="4" t="inlineStr">
        <is>
          <t>매장 30,000 (Y2~3)</t>
        </is>
      </c>
      <c r="B6" s="5">
        <f>'월별 운영비 시나리오'!D23</f>
        <v/>
      </c>
      <c r="C6" s="32" t="n">
        <v>30000</v>
      </c>
      <c r="D6" s="6">
        <f>C6*'월별 운영비 시나리오'!$E$3</f>
        <v/>
      </c>
      <c r="E6" s="8">
        <f>D6-B6</f>
        <v/>
      </c>
    </row>
    <row r="7">
      <c r="A7" s="4" t="inlineStr">
        <is>
          <t>매장 70,000 (Y3+)</t>
        </is>
      </c>
      <c r="B7" s="5">
        <f>'월별 운영비 시나리오'!E23</f>
        <v/>
      </c>
      <c r="C7" s="32" t="n">
        <v>70000</v>
      </c>
      <c r="D7" s="6">
        <f>C7*'월별 운영비 시나리오'!$E$3</f>
        <v/>
      </c>
      <c r="E7" s="8">
        <f>D7-B7</f>
        <v/>
      </c>
    </row>
    <row r="8">
      <c r="A8" s="2" t="n"/>
      <c r="B8" s="2" t="n"/>
      <c r="C8" s="2" t="n"/>
      <c r="D8" s="2" t="n"/>
      <c r="E8" s="2" t="n"/>
    </row>
    <row r="9">
      <c r="A9" s="9" t="inlineStr">
        <is>
          <t>BEP 매장 수 (운영비 ÷ 매장당 매출)</t>
        </is>
      </c>
      <c r="B9" s="2" t="inlineStr"/>
      <c r="C9" s="2" t="inlineStr"/>
      <c r="D9" s="2" t="inlineStr"/>
      <c r="E9" s="2" t="inlineStr"/>
    </row>
    <row r="10">
      <c r="A10" s="4" t="inlineStr">
        <is>
          <t>매장 10 시나리오 — BEP</t>
        </is>
      </c>
      <c r="B10" s="33">
        <f>B4/'월별 운영비 시나리오'!$E$3</f>
        <v/>
      </c>
      <c r="C10" s="4" t="inlineStr"/>
      <c r="D10" s="4" t="inlineStr"/>
      <c r="E10" s="4" t="inlineStr">
        <is>
          <t>운영비 ÷ 1만원</t>
        </is>
      </c>
    </row>
    <row r="11">
      <c r="A11" s="4" t="inlineStr">
        <is>
          <t>매장 10,000 시나리오 — BEP</t>
        </is>
      </c>
      <c r="B11" s="33">
        <f>B5/'월별 운영비 시나리오'!$E$3</f>
        <v/>
      </c>
      <c r="C11" s="4" t="inlineStr"/>
      <c r="D11" s="4" t="inlineStr"/>
      <c r="E11" s="4" t="inlineStr"/>
    </row>
    <row r="12">
      <c r="A12" s="4" t="inlineStr">
        <is>
          <t>매장 30,000 시나리오 — BEP</t>
        </is>
      </c>
      <c r="B12" s="33">
        <f>B6/'월별 운영비 시나리오'!$E$3</f>
        <v/>
      </c>
      <c r="C12" s="4" t="inlineStr"/>
      <c r="D12" s="4" t="inlineStr"/>
      <c r="E12" s="4" t="inlineStr"/>
    </row>
    <row r="13">
      <c r="A13" s="4" t="inlineStr">
        <is>
          <t>매장 70,000 시나리오 — BEP</t>
        </is>
      </c>
      <c r="B13" s="33">
        <f>B7/'월별 운영비 시나리오'!$E$3</f>
        <v/>
      </c>
      <c r="C13" s="4" t="inlineStr"/>
      <c r="D13" s="4" t="inlineStr"/>
      <c r="E13" s="4" t="inlineStr"/>
    </row>
    <row r="14">
      <c r="A14" s="34" t="inlineStr">
        <is>
          <t>⚠ 수익 구조 분석</t>
        </is>
      </c>
      <c r="B14" s="2" t="n"/>
      <c r="C14" s="2" t="n"/>
      <c r="D14" s="2" t="n"/>
      <c r="E14" s="2" t="n"/>
    </row>
    <row r="15">
      <c r="A15" s="10" t="inlineStr">
        <is>
          <t>· 매장당 월 ₩10,000 매출 — Y1 목표 100매장 = ₩1M/월 매출, 운영비 ~₩60K → 순익 ₩940K/월</t>
        </is>
      </c>
      <c r="B15" s="2" t="n"/>
      <c r="C15" s="2" t="n"/>
      <c r="D15" s="2" t="n"/>
      <c r="E15" s="2" t="n"/>
    </row>
    <row r="16">
      <c r="A16" s="10" t="inlineStr">
        <is>
          <t>· Mac mini 자체구축 + 자체 푸시·이메일로 운영비 대폭 절감</t>
        </is>
      </c>
      <c r="B16" s="2" t="n"/>
      <c r="C16" s="2" t="n"/>
      <c r="D16" s="2" t="n"/>
      <c r="E16" s="2" t="n"/>
    </row>
    <row r="17">
      <c r="A17" s="10" t="inlineStr">
        <is>
          <t>· 알림톡(카카오) 제거 시 외부 의존 0 — 단 솔라피 SMS 인증은 매장 100+ 시 도입 권장(또는 이메일 인증)</t>
        </is>
      </c>
      <c r="B17" s="2" t="n"/>
      <c r="C17" s="2" t="n"/>
      <c r="D17" s="2" t="n"/>
      <c r="E17" s="2" t="n"/>
    </row>
    <row r="18">
      <c r="A18" s="10" t="inlineStr">
        <is>
          <t>· Firebase Auth는 10K MAU 무료 — 매장 1K (MAU 50K) 도달 시 일부 유료 전환</t>
        </is>
      </c>
      <c r="B18" s="2" t="n"/>
      <c r="C18" s="2" t="n"/>
      <c r="D18" s="2" t="n"/>
      <c r="E18" s="2" t="n"/>
    </row>
    <row r="19">
      <c r="A19" s="10" t="inlineStr">
        <is>
          <t>· 자동화는 Mac mini 자체 Python 스크립트 (메모리 권장) — 외부 SaaS 비용 0</t>
        </is>
      </c>
      <c r="B19" s="2" t="n"/>
      <c r="C19" s="2" t="n"/>
      <c r="D19" s="2" t="n"/>
      <c r="E19" s="2" t="n"/>
    </row>
    <row r="20">
      <c r="A20" s="10" t="inlineStr">
        <is>
          <t>· Stage 2~3 도구(Twilio·번역·자동화 SaaS)는 매출 5~10% 재투자 원칙</t>
        </is>
      </c>
      <c r="B20" s="2" t="n"/>
      <c r="C20" s="2" t="n"/>
      <c r="D20" s="2" t="n"/>
      <c r="E20" s="2" t="n"/>
    </row>
    <row r="21">
      <c r="A21" s="10" t="inlineStr">
        <is>
          <t>· 초기 세팅비 회수 — 매장 100 시나리오 순익 ₩940K/월 → 셋업비(필수) ~₩780K 1개월 회수</t>
        </is>
      </c>
      <c r="B21" s="2" t="n"/>
      <c r="C21" s="2" t="n"/>
      <c r="D21" s="2" t="n"/>
      <c r="E21" s="2" t="n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2026년 월별 운영비 (반복 비용만 — 1회성은 초기 세팅비 시트)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5" t="inlineStr">
        <is>
          <t>※ 6/2주 외부 신청 시작. Mac mini 7월 셋업 (자체 호스팅 + Cloudflare Tunnel). 8월 출시 후 매장 0→10. 알림톡/카카오톡 미사용 — 자체 푸시·이메일로 대체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1" t="inlineStr">
        <is>
          <t>항목</t>
        </is>
      </c>
      <c r="B4" s="11" t="inlineStr">
        <is>
          <t>1월</t>
        </is>
      </c>
      <c r="C4" s="11" t="inlineStr">
        <is>
          <t>2월</t>
        </is>
      </c>
      <c r="D4" s="11" t="inlineStr">
        <is>
          <t>3월</t>
        </is>
      </c>
      <c r="E4" s="11" t="inlineStr">
        <is>
          <t>4월</t>
        </is>
      </c>
      <c r="F4" s="11" t="inlineStr">
        <is>
          <t>5월</t>
        </is>
      </c>
      <c r="G4" s="11" t="inlineStr">
        <is>
          <t>6월</t>
        </is>
      </c>
      <c r="H4" s="11" t="inlineStr">
        <is>
          <t>7월</t>
        </is>
      </c>
      <c r="I4" s="11" t="inlineStr">
        <is>
          <t>8월</t>
        </is>
      </c>
      <c r="J4" s="11" t="inlineStr">
        <is>
          <t>9월</t>
        </is>
      </c>
      <c r="K4" s="11" t="inlineStr">
        <is>
          <t>10월</t>
        </is>
      </c>
      <c r="L4" s="11" t="inlineStr">
        <is>
          <t>11월</t>
        </is>
      </c>
      <c r="M4" s="11" t="inlineStr">
        <is>
          <t>12월</t>
        </is>
      </c>
      <c r="N4" s="11" t="inlineStr">
        <is>
          <t>연 합계</t>
        </is>
      </c>
    </row>
    <row r="5">
      <c r="A5" s="13" t="inlineStr">
        <is>
          <t>서버 (Mac mini 자체)</t>
        </is>
      </c>
      <c r="B5" s="19" t="n">
        <v>0</v>
      </c>
      <c r="C5" s="19" t="n">
        <v>0</v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3000</v>
      </c>
      <c r="I5" s="19" t="n">
        <v>3000</v>
      </c>
      <c r="J5" s="19" t="n">
        <v>3000</v>
      </c>
      <c r="K5" s="19" t="n">
        <v>3000</v>
      </c>
      <c r="L5" s="19" t="n">
        <v>3000</v>
      </c>
      <c r="M5" s="19" t="n">
        <v>3000</v>
      </c>
      <c r="N5" s="36">
        <f>SUM(B5:M5)</f>
        <v/>
      </c>
    </row>
    <row r="6">
      <c r="A6" s="13" t="inlineStr">
        <is>
          <t>도메인 (월할)</t>
        </is>
      </c>
      <c r="B6" s="19" t="n">
        <v>0</v>
      </c>
      <c r="C6" s="19" t="n">
        <v>0</v>
      </c>
      <c r="D6" s="19" t="n">
        <v>0</v>
      </c>
      <c r="E6" s="19" t="n">
        <v>0</v>
      </c>
      <c r="F6" s="19" t="n">
        <v>0</v>
      </c>
      <c r="G6" s="19" t="n">
        <v>5000</v>
      </c>
      <c r="H6" s="19" t="n">
        <v>5000</v>
      </c>
      <c r="I6" s="19" t="n">
        <v>5000</v>
      </c>
      <c r="J6" s="19" t="n">
        <v>5000</v>
      </c>
      <c r="K6" s="19" t="n">
        <v>5000</v>
      </c>
      <c r="L6" s="19" t="n">
        <v>5000</v>
      </c>
      <c r="M6" s="19" t="n">
        <v>5000</v>
      </c>
      <c r="N6" s="36">
        <f>SUM(B6:M6)</f>
        <v/>
      </c>
    </row>
    <row r="7">
      <c r="A7" s="13" t="inlineStr">
        <is>
          <t>Workspace (2계정)</t>
        </is>
      </c>
      <c r="B7" s="19" t="n">
        <v>0</v>
      </c>
      <c r="C7" s="19" t="n">
        <v>0</v>
      </c>
      <c r="D7" s="19" t="n">
        <v>0</v>
      </c>
      <c r="E7" s="19" t="n">
        <v>0</v>
      </c>
      <c r="F7" s="19" t="n">
        <v>0</v>
      </c>
      <c r="G7" s="19" t="n">
        <v>21000</v>
      </c>
      <c r="H7" s="19" t="n">
        <v>21000</v>
      </c>
      <c r="I7" s="19" t="n">
        <v>21000</v>
      </c>
      <c r="J7" s="19" t="n">
        <v>21000</v>
      </c>
      <c r="K7" s="19" t="n">
        <v>21000</v>
      </c>
      <c r="L7" s="19" t="n">
        <v>21000</v>
      </c>
      <c r="M7" s="19" t="n">
        <v>21000</v>
      </c>
      <c r="N7" s="36">
        <f>SUM(B7:M7)</f>
        <v/>
      </c>
    </row>
    <row r="8">
      <c r="A8" s="13" t="inlineStr">
        <is>
          <t>이메일 (SendGrid)</t>
        </is>
      </c>
      <c r="B8" s="19" t="n">
        <v>0</v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36">
        <f>SUM(B8:M8)</f>
        <v/>
      </c>
    </row>
    <row r="9">
      <c r="A9" s="13" t="inlineStr">
        <is>
          <t>SMS 인증 (옵션)</t>
        </is>
      </c>
      <c r="B9" s="19" t="n">
        <v>0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1000</v>
      </c>
      <c r="J9" s="19" t="n">
        <v>2000</v>
      </c>
      <c r="K9" s="19" t="n">
        <v>3000</v>
      </c>
      <c r="L9" s="19" t="n">
        <v>5000</v>
      </c>
      <c r="M9" s="19" t="n">
        <v>5000</v>
      </c>
      <c r="N9" s="36">
        <f>SUM(B9:M9)</f>
        <v/>
      </c>
    </row>
    <row r="10">
      <c r="A10" s="13" t="inlineStr">
        <is>
          <t>Firebase Auth (초과)</t>
        </is>
      </c>
      <c r="B10" s="19" t="n">
        <v>0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36">
        <f>SUM(B10:M10)</f>
        <v/>
      </c>
    </row>
    <row r="11">
      <c r="A11" s="13" t="inlineStr">
        <is>
          <t>Google Maps (초과)</t>
        </is>
      </c>
      <c r="B11" s="19" t="n">
        <v>0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36">
        <f>SUM(B11:M11)</f>
        <v/>
      </c>
    </row>
    <row r="12">
      <c r="A12" s="13" t="inlineStr">
        <is>
          <t>Sentry</t>
        </is>
      </c>
      <c r="B12" s="19" t="n">
        <v>0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36">
        <f>SUM(B12:M12)</f>
        <v/>
      </c>
    </row>
    <row r="13">
      <c r="A13" s="13" t="inlineStr">
        <is>
          <t>번역 API (P8b)</t>
        </is>
      </c>
      <c r="B13" s="19" t="n">
        <v>0</v>
      </c>
      <c r="C13" s="19" t="n">
        <v>0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9" t="n">
        <v>0</v>
      </c>
      <c r="L13" s="19" t="n">
        <v>0</v>
      </c>
      <c r="M13" s="19" t="n">
        <v>0</v>
      </c>
      <c r="N13" s="36">
        <f>SUM(B13:M13)</f>
        <v/>
      </c>
    </row>
    <row r="14">
      <c r="A14" s="13" t="inlineStr">
        <is>
          <t>서버 확장 (대안)</t>
        </is>
      </c>
      <c r="B14" s="19" t="n">
        <v>0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36">
        <f>SUM(B14:M14)</f>
        <v/>
      </c>
    </row>
    <row r="15">
      <c r="A15" s="20" t="inlineStr">
        <is>
          <t>월 운영비 합계</t>
        </is>
      </c>
      <c r="B15" s="21">
        <f>SUM(B5:B14)</f>
        <v/>
      </c>
      <c r="C15" s="21">
        <f>SUM(C5:C14)</f>
        <v/>
      </c>
      <c r="D15" s="21">
        <f>SUM(D5:D14)</f>
        <v/>
      </c>
      <c r="E15" s="21">
        <f>SUM(E5:E14)</f>
        <v/>
      </c>
      <c r="F15" s="21">
        <f>SUM(F5:F14)</f>
        <v/>
      </c>
      <c r="G15" s="21">
        <f>SUM(G5:G14)</f>
        <v/>
      </c>
      <c r="H15" s="21">
        <f>SUM(H5:H14)</f>
        <v/>
      </c>
      <c r="I15" s="21">
        <f>SUM(I5:I14)</f>
        <v/>
      </c>
      <c r="J15" s="21">
        <f>SUM(J5:J14)</f>
        <v/>
      </c>
      <c r="K15" s="21">
        <f>SUM(K5:K14)</f>
        <v/>
      </c>
      <c r="L15" s="21">
        <f>SUM(L5:L14)</f>
        <v/>
      </c>
      <c r="M15" s="21">
        <f>SUM(M5:M14)</f>
        <v/>
      </c>
      <c r="N15" s="21">
        <f>SUM(B15:M15)</f>
        <v/>
      </c>
    </row>
    <row r="16">
      <c r="A16" s="37" t="inlineStr">
        <is>
          <t>누계</t>
        </is>
      </c>
      <c r="B16" s="28">
        <f>B15</f>
        <v/>
      </c>
      <c r="C16" s="28">
        <f>B16+C15</f>
        <v/>
      </c>
      <c r="D16" s="28">
        <f>C16+D15</f>
        <v/>
      </c>
      <c r="E16" s="28">
        <f>D16+E15</f>
        <v/>
      </c>
      <c r="F16" s="28">
        <f>E16+F15</f>
        <v/>
      </c>
      <c r="G16" s="28">
        <f>F16+G15</f>
        <v/>
      </c>
      <c r="H16" s="28">
        <f>G16+H15</f>
        <v/>
      </c>
      <c r="I16" s="28">
        <f>H16+I15</f>
        <v/>
      </c>
      <c r="J16" s="28">
        <f>I16+J15</f>
        <v/>
      </c>
      <c r="K16" s="28">
        <f>J16+K15</f>
        <v/>
      </c>
      <c r="L16" s="28">
        <f>K16+L15</f>
        <v/>
      </c>
      <c r="M16" s="28">
        <f>L16+M15</f>
        <v/>
      </c>
      <c r="N16" s="28">
        <f>N15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2027년 월별 운영비 (반복 비용만 — 1회성은 초기 세팅비 시트)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5" t="inlineStr">
        <is>
          <t>※ Q1 매장 ~30, Q2 ~100, Q3 ~300, Q4 ~500. Mac mini 자체 호스팅 + 자동화. 이메일 Q2부터 SendGrid Essentials. 알림톡 미사용 — 자체 푸시 + 이메일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1" t="inlineStr">
        <is>
          <t>항목</t>
        </is>
      </c>
      <c r="B4" s="11" t="inlineStr">
        <is>
          <t>1월</t>
        </is>
      </c>
      <c r="C4" s="11" t="inlineStr">
        <is>
          <t>2월</t>
        </is>
      </c>
      <c r="D4" s="11" t="inlineStr">
        <is>
          <t>3월</t>
        </is>
      </c>
      <c r="E4" s="11" t="inlineStr">
        <is>
          <t>4월</t>
        </is>
      </c>
      <c r="F4" s="11" t="inlineStr">
        <is>
          <t>5월</t>
        </is>
      </c>
      <c r="G4" s="11" t="inlineStr">
        <is>
          <t>6월</t>
        </is>
      </c>
      <c r="H4" s="11" t="inlineStr">
        <is>
          <t>7월</t>
        </is>
      </c>
      <c r="I4" s="11" t="inlineStr">
        <is>
          <t>8월</t>
        </is>
      </c>
      <c r="J4" s="11" t="inlineStr">
        <is>
          <t>9월</t>
        </is>
      </c>
      <c r="K4" s="11" t="inlineStr">
        <is>
          <t>10월</t>
        </is>
      </c>
      <c r="L4" s="11" t="inlineStr">
        <is>
          <t>11월</t>
        </is>
      </c>
      <c r="M4" s="11" t="inlineStr">
        <is>
          <t>12월</t>
        </is>
      </c>
      <c r="N4" s="11" t="inlineStr">
        <is>
          <t>연 합계</t>
        </is>
      </c>
    </row>
    <row r="5">
      <c r="A5" s="13" t="inlineStr">
        <is>
          <t>서버 (Mac mini 자체)</t>
        </is>
      </c>
      <c r="B5" s="19" t="n">
        <v>3000</v>
      </c>
      <c r="C5" s="19" t="n">
        <v>3000</v>
      </c>
      <c r="D5" s="19" t="n">
        <v>3000</v>
      </c>
      <c r="E5" s="19" t="n">
        <v>3000</v>
      </c>
      <c r="F5" s="19" t="n">
        <v>3000</v>
      </c>
      <c r="G5" s="19" t="n">
        <v>3000</v>
      </c>
      <c r="H5" s="19" t="n">
        <v>3000</v>
      </c>
      <c r="I5" s="19" t="n">
        <v>3000</v>
      </c>
      <c r="J5" s="19" t="n">
        <v>3000</v>
      </c>
      <c r="K5" s="19" t="n">
        <v>3000</v>
      </c>
      <c r="L5" s="19" t="n">
        <v>3000</v>
      </c>
      <c r="M5" s="19" t="n">
        <v>3000</v>
      </c>
      <c r="N5" s="36">
        <f>SUM(B5:M5)</f>
        <v/>
      </c>
    </row>
    <row r="6">
      <c r="A6" s="13" t="inlineStr">
        <is>
          <t>도메인 (월할)</t>
        </is>
      </c>
      <c r="B6" s="19" t="n">
        <v>5000</v>
      </c>
      <c r="C6" s="19" t="n">
        <v>5000</v>
      </c>
      <c r="D6" s="19" t="n">
        <v>5000</v>
      </c>
      <c r="E6" s="19" t="n">
        <v>5000</v>
      </c>
      <c r="F6" s="19" t="n">
        <v>5000</v>
      </c>
      <c r="G6" s="19" t="n">
        <v>5000</v>
      </c>
      <c r="H6" s="19" t="n">
        <v>5000</v>
      </c>
      <c r="I6" s="19" t="n">
        <v>5000</v>
      </c>
      <c r="J6" s="19" t="n">
        <v>5000</v>
      </c>
      <c r="K6" s="19" t="n">
        <v>5000</v>
      </c>
      <c r="L6" s="19" t="n">
        <v>5000</v>
      </c>
      <c r="M6" s="19" t="n">
        <v>5000</v>
      </c>
      <c r="N6" s="36">
        <f>SUM(B6:M6)</f>
        <v/>
      </c>
    </row>
    <row r="7">
      <c r="A7" s="13" t="inlineStr">
        <is>
          <t>Workspace (2계정)</t>
        </is>
      </c>
      <c r="B7" s="19" t="n">
        <v>21000</v>
      </c>
      <c r="C7" s="19" t="n">
        <v>21000</v>
      </c>
      <c r="D7" s="19" t="n">
        <v>21000</v>
      </c>
      <c r="E7" s="19" t="n">
        <v>21000</v>
      </c>
      <c r="F7" s="19" t="n">
        <v>21000</v>
      </c>
      <c r="G7" s="19" t="n">
        <v>21000</v>
      </c>
      <c r="H7" s="19" t="n">
        <v>21000</v>
      </c>
      <c r="I7" s="19" t="n">
        <v>21000</v>
      </c>
      <c r="J7" s="19" t="n">
        <v>21000</v>
      </c>
      <c r="K7" s="19" t="n">
        <v>21000</v>
      </c>
      <c r="L7" s="19" t="n">
        <v>21000</v>
      </c>
      <c r="M7" s="19" t="n">
        <v>21000</v>
      </c>
      <c r="N7" s="36">
        <f>SUM(B7:M7)</f>
        <v/>
      </c>
    </row>
    <row r="8">
      <c r="A8" s="13" t="inlineStr">
        <is>
          <t>이메일 (SendGrid)</t>
        </is>
      </c>
      <c r="B8" s="19" t="n">
        <v>0</v>
      </c>
      <c r="C8" s="19" t="n">
        <v>0</v>
      </c>
      <c r="D8" s="19" t="n">
        <v>0</v>
      </c>
      <c r="E8" s="19" t="n">
        <v>30000</v>
      </c>
      <c r="F8" s="19" t="n">
        <v>30000</v>
      </c>
      <c r="G8" s="19" t="n">
        <v>30000</v>
      </c>
      <c r="H8" s="19" t="n">
        <v>30000</v>
      </c>
      <c r="I8" s="19" t="n">
        <v>30000</v>
      </c>
      <c r="J8" s="19" t="n">
        <v>30000</v>
      </c>
      <c r="K8" s="19" t="n">
        <v>30000</v>
      </c>
      <c r="L8" s="19" t="n">
        <v>30000</v>
      </c>
      <c r="M8" s="19" t="n">
        <v>30000</v>
      </c>
      <c r="N8" s="36">
        <f>SUM(B8:M8)</f>
        <v/>
      </c>
    </row>
    <row r="9">
      <c r="A9" s="13" t="inlineStr">
        <is>
          <t>SMS 인증 (옵션)</t>
        </is>
      </c>
      <c r="B9" s="19" t="n">
        <v>5000</v>
      </c>
      <c r="C9" s="19" t="n">
        <v>8000</v>
      </c>
      <c r="D9" s="19" t="n">
        <v>12000</v>
      </c>
      <c r="E9" s="19" t="n">
        <v>15000</v>
      </c>
      <c r="F9" s="19" t="n">
        <v>18000</v>
      </c>
      <c r="G9" s="19" t="n">
        <v>20000</v>
      </c>
      <c r="H9" s="19" t="n">
        <v>25000</v>
      </c>
      <c r="I9" s="19" t="n">
        <v>30000</v>
      </c>
      <c r="J9" s="19" t="n">
        <v>35000</v>
      </c>
      <c r="K9" s="19" t="n">
        <v>40000</v>
      </c>
      <c r="L9" s="19" t="n">
        <v>45000</v>
      </c>
      <c r="M9" s="19" t="n">
        <v>50000</v>
      </c>
      <c r="N9" s="36">
        <f>SUM(B9:M9)</f>
        <v/>
      </c>
    </row>
    <row r="10">
      <c r="A10" s="13" t="inlineStr">
        <is>
          <t>Firebase Auth (초과)</t>
        </is>
      </c>
      <c r="B10" s="19" t="n">
        <v>0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10000</v>
      </c>
      <c r="L10" s="19" t="n">
        <v>20000</v>
      </c>
      <c r="M10" s="19" t="n">
        <v>30000</v>
      </c>
      <c r="N10" s="36">
        <f>SUM(B10:M10)</f>
        <v/>
      </c>
    </row>
    <row r="11">
      <c r="A11" s="13" t="inlineStr">
        <is>
          <t>Google Maps (초과)</t>
        </is>
      </c>
      <c r="B11" s="19" t="n">
        <v>0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10000</v>
      </c>
      <c r="M11" s="19" t="n">
        <v>20000</v>
      </c>
      <c r="N11" s="36">
        <f>SUM(B11:M11)</f>
        <v/>
      </c>
    </row>
    <row r="12">
      <c r="A12" s="13" t="inlineStr">
        <is>
          <t>Sentry</t>
        </is>
      </c>
      <c r="B12" s="19" t="n">
        <v>0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30000</v>
      </c>
      <c r="N12" s="36">
        <f>SUM(B12:M12)</f>
        <v/>
      </c>
    </row>
    <row r="13">
      <c r="A13" s="13" t="inlineStr">
        <is>
          <t>번역 API (P8b)</t>
        </is>
      </c>
      <c r="B13" s="19" t="n">
        <v>0</v>
      </c>
      <c r="C13" s="19" t="n">
        <v>0</v>
      </c>
      <c r="D13" s="19" t="n">
        <v>0</v>
      </c>
      <c r="E13" s="19" t="n">
        <v>10000</v>
      </c>
      <c r="F13" s="19" t="n">
        <v>15000</v>
      </c>
      <c r="G13" s="19" t="n">
        <v>20000</v>
      </c>
      <c r="H13" s="19" t="n">
        <v>25000</v>
      </c>
      <c r="I13" s="19" t="n">
        <v>30000</v>
      </c>
      <c r="J13" s="19" t="n">
        <v>40000</v>
      </c>
      <c r="K13" s="19" t="n">
        <v>50000</v>
      </c>
      <c r="L13" s="19" t="n">
        <v>60000</v>
      </c>
      <c r="M13" s="19" t="n">
        <v>80000</v>
      </c>
      <c r="N13" s="36">
        <f>SUM(B13:M13)</f>
        <v/>
      </c>
    </row>
    <row r="14">
      <c r="A14" s="13" t="inlineStr">
        <is>
          <t>서버 확장 (대안)</t>
        </is>
      </c>
      <c r="B14" s="19" t="n">
        <v>0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30000</v>
      </c>
      <c r="J14" s="19" t="n">
        <v>30000</v>
      </c>
      <c r="K14" s="19" t="n">
        <v>50000</v>
      </c>
      <c r="L14" s="19" t="n">
        <v>50000</v>
      </c>
      <c r="M14" s="19" t="n">
        <v>50000</v>
      </c>
      <c r="N14" s="36">
        <f>SUM(B14:M14)</f>
        <v/>
      </c>
    </row>
    <row r="15">
      <c r="A15" s="20" t="inlineStr">
        <is>
          <t>월 운영비 합계</t>
        </is>
      </c>
      <c r="B15" s="21">
        <f>SUM(B5:B14)</f>
        <v/>
      </c>
      <c r="C15" s="21">
        <f>SUM(C5:C14)</f>
        <v/>
      </c>
      <c r="D15" s="21">
        <f>SUM(D5:D14)</f>
        <v/>
      </c>
      <c r="E15" s="21">
        <f>SUM(E5:E14)</f>
        <v/>
      </c>
      <c r="F15" s="21">
        <f>SUM(F5:F14)</f>
        <v/>
      </c>
      <c r="G15" s="21">
        <f>SUM(G5:G14)</f>
        <v/>
      </c>
      <c r="H15" s="21">
        <f>SUM(H5:H14)</f>
        <v/>
      </c>
      <c r="I15" s="21">
        <f>SUM(I5:I14)</f>
        <v/>
      </c>
      <c r="J15" s="21">
        <f>SUM(J5:J14)</f>
        <v/>
      </c>
      <c r="K15" s="21">
        <f>SUM(K5:K14)</f>
        <v/>
      </c>
      <c r="L15" s="21">
        <f>SUM(L5:L14)</f>
        <v/>
      </c>
      <c r="M15" s="21">
        <f>SUM(M5:M14)</f>
        <v/>
      </c>
      <c r="N15" s="21">
        <f>SUM(B15:M15)</f>
        <v/>
      </c>
    </row>
    <row r="16">
      <c r="A16" s="37" t="inlineStr">
        <is>
          <t>누계</t>
        </is>
      </c>
      <c r="B16" s="28">
        <f>B15</f>
        <v/>
      </c>
      <c r="C16" s="28">
        <f>B16+C15</f>
        <v/>
      </c>
      <c r="D16" s="28">
        <f>C16+D15</f>
        <v/>
      </c>
      <c r="E16" s="28">
        <f>D16+E15</f>
        <v/>
      </c>
      <c r="F16" s="28">
        <f>E16+F15</f>
        <v/>
      </c>
      <c r="G16" s="28">
        <f>F16+G15</f>
        <v/>
      </c>
      <c r="H16" s="28">
        <f>G16+H15</f>
        <v/>
      </c>
      <c r="I16" s="28">
        <f>H16+I15</f>
        <v/>
      </c>
      <c r="J16" s="28">
        <f>I16+J15</f>
        <v/>
      </c>
      <c r="K16" s="28">
        <f>J16+K15</f>
        <v/>
      </c>
      <c r="L16" s="28">
        <f>K16+L15</f>
        <v/>
      </c>
      <c r="M16" s="28">
        <f>L16+M15</f>
        <v/>
      </c>
      <c r="N16" s="28">
        <f>N15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2026-05-23T05:43:34Z</dcterms:created>
  <dcterms:modified xmlns:dcterms="http://purl.org/dc/terms/" xmlns:xsi="http://www.w3.org/2001/XMLSchema-instance" xsi:type="dcterms:W3CDTF">2026-05-23T05:43:34Z</dcterms:modified>
</cp:coreProperties>
</file>