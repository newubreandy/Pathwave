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 합계" sheetId="1" state="visible" r:id="rId1"/>
    <sheet xmlns:r="http://schemas.openxmlformats.org/officeDocument/2006/relationships" name="서비스 신청 체크리스트" sheetId="2" state="visible" r:id="rId2"/>
    <sheet xmlns:r="http://schemas.openxmlformats.org/officeDocument/2006/relationships" name="초기 세팅비 (1회성)" sheetId="3" state="visible" r:id="rId3"/>
    <sheet xmlns:r="http://schemas.openxmlformats.org/officeDocument/2006/relationships" name="월별 운영비 시나리오" sheetId="4" state="visible" r:id="rId4"/>
    <sheet xmlns:r="http://schemas.openxmlformats.org/officeDocument/2006/relationships" name="2026년 월별" sheetId="5" state="visible" r:id="rId5"/>
    <sheet xmlns:r="http://schemas.openxmlformats.org/officeDocument/2006/relationships" name="2027년 월별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₩#,##0;(₩#,##0);-"/>
  </numFmts>
  <fonts count="11">
    <font>
      <name val="Calibri"/>
      <family val="2"/>
      <color theme="1"/>
      <sz val="11"/>
      <scheme val="minor"/>
    </font>
    <font>
      <name val="맑은 고딕"/>
      <color rgb="000000FF"/>
    </font>
    <font>
      <name val="맑은 고딕"/>
      <b val="1"/>
    </font>
    <font>
      <name val="맑은 고딕"/>
      <b val="1"/>
      <color rgb="00FFFFFF"/>
      <sz val="11"/>
    </font>
    <font>
      <name val="맑은 고딕"/>
      <b val="1"/>
      <color rgb="001F4E78"/>
      <sz val="14"/>
    </font>
    <font>
      <name val="맑은 고딕"/>
      <i val="1"/>
      <color rgb="00808080"/>
    </font>
    <font>
      <name val="맑은 고딕"/>
      <b val="1"/>
      <color rgb="001F4E78"/>
    </font>
    <font>
      <name val="맑은 고딕"/>
      <color rgb="00008000"/>
    </font>
    <font>
      <name val="맑은 고딕"/>
      <i val="1"/>
    </font>
    <font>
      <name val="맑은 고딕"/>
      <color rgb="00505050"/>
    </font>
    <font>
      <name val="맑은 고딕"/>
      <color theme="1"/>
      <sz val="11"/>
    </font>
  </fonts>
  <fills count="8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FFFCC"/>
      </patternFill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0" borderId="0" pivotButton="0" quotePrefix="0" xfId="0"/>
    <xf numFmtId="0" fontId="10" fillId="0" borderId="0" pivotButton="0" quotePrefix="0" xfId="0"/>
    <xf numFmtId="0" fontId="3" fillId="6" borderId="1" applyAlignment="1" pivotButton="0" quotePrefix="0" xfId="0">
      <alignment horizontal="center"/>
    </xf>
    <xf numFmtId="0" fontId="10" fillId="0" borderId="1" pivotButton="0" quotePrefix="0" xfId="0"/>
    <xf numFmtId="164" fontId="7" fillId="0" borderId="1" pivotButton="0" quotePrefix="0" xfId="0"/>
    <xf numFmtId="164" fontId="10" fillId="0" borderId="1" pivotButton="0" quotePrefix="0" xfId="0"/>
    <xf numFmtId="0" fontId="2" fillId="0" borderId="1" pivotButton="0" quotePrefix="0" xfId="0"/>
    <xf numFmtId="164" fontId="2" fillId="5" borderId="1" pivotButton="0" quotePrefix="0" xfId="0"/>
    <xf numFmtId="0" fontId="6" fillId="0" borderId="0" pivotButton="0" quotePrefix="0" xfId="0"/>
    <xf numFmtId="0" fontId="9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164" fontId="1" fillId="0" borderId="1" applyAlignment="1" pivotButton="0" quotePrefix="0" xfId="0">
      <alignment vertical="top" wrapText="1"/>
    </xf>
    <xf numFmtId="0" fontId="10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5" fillId="0" borderId="0" pivotButton="0" quotePrefix="0" xfId="0"/>
    <xf numFmtId="0" fontId="6" fillId="7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60" customWidth="1" min="4" max="4"/>
  </cols>
  <sheetData>
    <row r="1">
      <c r="A1" s="1" t="inlineStr">
        <is>
          <t>PathWave 운영비 — 연간 합계 (2026·2027)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3" t="inlineStr">
        <is>
          <t>연도</t>
        </is>
      </c>
      <c r="B3" s="3" t="inlineStr">
        <is>
          <t>연 합계 (₩)</t>
        </is>
      </c>
      <c r="C3" s="3" t="inlineStr">
        <is>
          <t>월 평균 (₩)</t>
        </is>
      </c>
      <c r="D3" s="3" t="inlineStr">
        <is>
          <t>비고</t>
        </is>
      </c>
    </row>
    <row r="4">
      <c r="A4" s="4" t="inlineStr">
        <is>
          <t>2026</t>
        </is>
      </c>
      <c r="B4" s="5">
        <f>'2026년 월별'!N22</f>
        <v/>
      </c>
      <c r="C4" s="6">
        <f>B4/5</f>
        <v/>
      </c>
      <c r="D4" s="4" t="inlineStr">
        <is>
          <t>6월 외부 신청 시작, 8~12월 (5개월) 실 운영 + 7월 1회성 포함</t>
        </is>
      </c>
    </row>
    <row r="5">
      <c r="A5" s="4" t="inlineStr">
        <is>
          <t>2027</t>
        </is>
      </c>
      <c r="B5" s="5">
        <f>'2027년 월별'!N22</f>
        <v/>
      </c>
      <c r="C5" s="6">
        <f>B5/12</f>
        <v/>
      </c>
      <c r="D5" s="4" t="inlineStr">
        <is>
          <t>12개월 — Q1~Q4 점진 성장 + 도메인·Apple 연 갱신</t>
        </is>
      </c>
    </row>
    <row r="6">
      <c r="A6" s="7" t="inlineStr">
        <is>
          <t>2년 합계</t>
        </is>
      </c>
      <c r="B6" s="8">
        <f>SUM(B4:B5)</f>
        <v/>
      </c>
      <c r="C6" s="6" t="inlineStr">
        <is>
          <t>—</t>
        </is>
      </c>
      <c r="D6" s="4" t="inlineStr"/>
    </row>
    <row r="7">
      <c r="A7" s="9" t="inlineStr">
        <is>
          <t>주요 가정 / 변경점 (2026-05-23 갱신)</t>
        </is>
      </c>
      <c r="B7" s="2" t="n"/>
      <c r="C7" s="2" t="n"/>
      <c r="D7" s="2" t="n"/>
    </row>
    <row r="8">
      <c r="A8" s="10" t="inlineStr">
        <is>
          <t>① 외부 서비스 신청 시작 = 2026-06-02 주 (법인카드 수취 후). 그 전 = 코드 작업만, 비용 거의 0</t>
        </is>
      </c>
      <c r="B8" s="2" t="n"/>
      <c r="C8" s="2" t="n"/>
      <c r="D8" s="2" t="n"/>
    </row>
    <row r="9">
      <c r="A9" s="10" t="inlineStr">
        <is>
          <t>② 이메일·도메인: 패스웨이브(서비스 — pathwave.co.kr) + 트리거소프트(법인 — triggersoft.kr) 분리</t>
        </is>
      </c>
      <c r="B9" s="2" t="n"/>
      <c r="C9" s="2" t="n"/>
      <c r="D9" s="2" t="n"/>
    </row>
    <row r="10">
      <c r="A10" s="10" t="inlineStr">
        <is>
          <t xml:space="preserve">   Google Workspace 2계정 ($7×2 = ₩18,200/월), 패스웨이브는 4 alias로 5메일 운영</t>
        </is>
      </c>
      <c r="B10" s="2" t="n"/>
      <c r="C10" s="2" t="n"/>
      <c r="D10" s="2" t="n"/>
    </row>
    <row r="11">
      <c r="A11" s="10" t="inlineStr">
        <is>
          <t>③ 알림톡 비용 현실화 — 매장당 월 2건 쿠폰/이벤트 × 평균 50명 = 100건/매장/월 × 9원</t>
        </is>
      </c>
      <c r="B11" s="2" t="n"/>
      <c r="C11" s="2" t="n"/>
      <c r="D11" s="2" t="n"/>
    </row>
    <row r="12">
      <c r="A12" s="10" t="inlineStr">
        <is>
          <t xml:space="preserve">   MAU 1K(매장 10) ₩9,000 / MAU 10K(매장 100) ₩90,000 / MAU 100K(매장 500) ₩450,000</t>
        </is>
      </c>
      <c r="B12" s="2" t="n"/>
      <c r="C12" s="2" t="n"/>
      <c r="D12" s="2" t="n"/>
    </row>
    <row r="13">
      <c r="A13" s="10" t="inlineStr">
        <is>
          <t>④ 초기 세팅비(Apple·Play·도메인·Mac mini·NICE)는 별도 시트로 분리, 월별 시트에서는 발생 월에 일시불 표시</t>
        </is>
      </c>
      <c r="B13" s="2" t="n"/>
      <c r="C13" s="2" t="n"/>
      <c r="D13" s="2" t="n"/>
    </row>
    <row r="14">
      <c r="A14" s="10" t="inlineStr">
        <is>
          <t>⑤ 환율: USD 1 = ₩1,300 (변동 시 가정 갱신)</t>
        </is>
      </c>
      <c r="B14" s="2" t="n"/>
      <c r="C14" s="2" t="n"/>
      <c r="D14" s="2" t="n"/>
    </row>
    <row r="15">
      <c r="A15" s="10" t="inlineStr">
        <is>
          <t>⑥ 토스페이먼츠 수수료(2.9% + 33원)는 결제 발생 시 매출 차감 — 운영비 미포함</t>
        </is>
      </c>
      <c r="B15" s="2" t="n"/>
      <c r="C15" s="2" t="n"/>
      <c r="D15" s="2" t="n"/>
    </row>
    <row r="16">
      <c r="A16" s="10" t="inlineStr">
        <is>
          <t>⑦ Mac mini 옵션 80만원·NICE 보증금 10만원 — 자본 여유 시 도입 (필수 아님)</t>
        </is>
      </c>
      <c r="B16" s="2" t="n"/>
      <c r="C16" s="2" t="n"/>
      <c r="D16" s="2" t="n"/>
    </row>
    <row r="17">
      <c r="A17" s="10" t="inlineStr">
        <is>
          <t>⑧ 모든 외부 서비스 키는 법인카드 발급 후 법인 명의 가입 (개인 → 법인 이관 어려움)</t>
        </is>
      </c>
      <c r="B17" s="2" t="n"/>
      <c r="C17" s="2" t="n"/>
      <c r="D17" s="2" t="n"/>
    </row>
    <row r="18">
      <c r="A18" s="10" t="inlineStr">
        <is>
          <t>⑨ 자동화 도구(Stage 2~3 — Channeltalk·ChatGPT·Make 등) = 출시 후 매출 발생 시 단계적 도입</t>
        </is>
      </c>
      <c r="B18" s="2" t="n"/>
      <c r="C18" s="2" t="n"/>
      <c r="D18" s="2" t="n"/>
    </row>
    <row r="19">
      <c r="A19" s="9" t="inlineStr">
        <is>
          <t>사용 방법</t>
        </is>
      </c>
      <c r="B19" s="2" t="n"/>
      <c r="C19" s="2" t="n"/>
      <c r="D19" s="2" t="n"/>
    </row>
    <row r="20">
      <c r="A20" s="10" t="inlineStr">
        <is>
          <t>① "서비스 신청 체크리스트": I열 신청 상태(대기→신청중→검수중→활성) 갱신</t>
        </is>
      </c>
      <c r="B20" s="2" t="n"/>
      <c r="C20" s="2" t="n"/>
      <c r="D20" s="2" t="n"/>
    </row>
    <row r="21">
      <c r="A21" s="10" t="inlineStr">
        <is>
          <t>② "초기 세팅비": 출시 전 1회성 비용 — 필수만 vs 옵션 포함 두 합계</t>
        </is>
      </c>
      <c r="B21" s="2" t="n"/>
      <c r="C21" s="2" t="n"/>
      <c r="D21" s="2" t="n"/>
    </row>
    <row r="22">
      <c r="A22" s="10" t="inlineStr">
        <is>
          <t>③ "월별 운영비 시나리오": MAU 1K/10K/100K 별 매월 발생 비용</t>
        </is>
      </c>
      <c r="B22" s="2" t="n"/>
      <c r="C22" s="2" t="n"/>
      <c r="D22" s="2" t="n"/>
    </row>
    <row r="23">
      <c r="A23" s="10" t="inlineStr">
        <is>
          <t>④ "2026/2027년 월별": 반복 + 1회성 통합 cash flow view, 누계 자동 계산</t>
        </is>
      </c>
      <c r="B23" s="2" t="n"/>
      <c r="C23" s="2" t="n"/>
      <c r="D23" s="2" t="n"/>
    </row>
    <row r="24">
      <c r="A24" s="10" t="inlineStr">
        <is>
          <t>⑤ "연간 합계": 연·월 평균 + 주요 가정</t>
        </is>
      </c>
      <c r="B24" s="2" t="n"/>
      <c r="C24" s="2" t="n"/>
      <c r="D24" s="2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8" customWidth="1" min="3" max="3"/>
    <col width="22" customWidth="1" min="4" max="4"/>
    <col width="11" customWidth="1" min="5" max="5"/>
    <col width="14" customWidth="1" min="6" max="6"/>
    <col width="14" customWidth="1" min="7" max="7"/>
    <col width="18" customWidth="1" min="8" max="8"/>
    <col width="11" customWidth="1" min="9" max="9"/>
    <col width="13" customWidth="1" min="10" max="10"/>
    <col width="13" customWidth="1" min="11" max="11"/>
    <col width="38" customWidth="1" min="12" max="12"/>
  </cols>
  <sheetData>
    <row r="1" ht="36" customHeight="1">
      <c r="A1" s="11" t="inlineStr">
        <is>
          <t>우선순위</t>
        </is>
      </c>
      <c r="B1" s="11" t="inlineStr">
        <is>
          <t>카테고리</t>
        </is>
      </c>
      <c r="C1" s="11" t="inlineStr">
        <is>
          <t>서비스</t>
        </is>
      </c>
      <c r="D1" s="11" t="inlineStr">
        <is>
          <t>제공사</t>
        </is>
      </c>
      <c r="E1" s="11" t="inlineStr">
        <is>
          <t>필수/선택</t>
        </is>
      </c>
      <c r="F1" s="11" t="inlineStr">
        <is>
          <t>월 추정 (₩)</t>
        </is>
      </c>
      <c r="G1" s="11" t="inlineStr">
        <is>
          <t>초기 세팅비 (₩)</t>
        </is>
      </c>
      <c r="H1" s="11" t="inlineStr">
        <is>
          <t>가입 계정</t>
        </is>
      </c>
      <c r="I1" s="11" t="inlineStr">
        <is>
          <t>신청 상태</t>
        </is>
      </c>
      <c r="J1" s="11" t="inlineStr">
        <is>
          <t>신청 예정</t>
        </is>
      </c>
      <c r="K1" s="11" t="inlineStr">
        <is>
          <t>활성 예정</t>
        </is>
      </c>
      <c r="L1" s="11" t="inlineStr">
        <is>
          <t>환경변수 / 비고</t>
        </is>
      </c>
    </row>
    <row r="2">
      <c r="A2" s="12" t="n">
        <v>1</v>
      </c>
      <c r="B2" s="13" t="inlineStr">
        <is>
          <t>결제</t>
        </is>
      </c>
      <c r="C2" s="13" t="inlineStr">
        <is>
          <t>토스페이먼츠</t>
        </is>
      </c>
      <c r="D2" s="13" t="inlineStr">
        <is>
          <t>Toss Payments</t>
        </is>
      </c>
      <c r="E2" s="13" t="inlineStr">
        <is>
          <t>필수</t>
        </is>
      </c>
      <c r="F2" s="14" t="n">
        <v>0</v>
      </c>
      <c r="G2" s="14" t="n">
        <v>0</v>
      </c>
      <c r="H2" s="13" t="inlineStr">
        <is>
          <t>admin@pathwave</t>
        </is>
      </c>
      <c r="I2" s="15" t="inlineStr">
        <is>
          <t>대기</t>
        </is>
      </c>
      <c r="J2" s="16" t="inlineStr">
        <is>
          <t>2026-06-02</t>
        </is>
      </c>
      <c r="K2" s="16" t="inlineStr">
        <is>
          <t>2026-06-16</t>
        </is>
      </c>
      <c r="L2" s="13" t="inlineStr">
        <is>
          <t>TOSS_SECRET_KEY · 심사 1~2주 (가장 김)</t>
        </is>
      </c>
    </row>
    <row r="3">
      <c r="A3" s="12" t="n">
        <v>1</v>
      </c>
      <c r="B3" s="13" t="inlineStr">
        <is>
          <t>스토어</t>
        </is>
      </c>
      <c r="C3" s="13" t="inlineStr">
        <is>
          <t>Apple Developer</t>
        </is>
      </c>
      <c r="D3" s="13" t="inlineStr">
        <is>
          <t>Apple</t>
        </is>
      </c>
      <c r="E3" s="13" t="inlineStr">
        <is>
          <t>필수</t>
        </is>
      </c>
      <c r="F3" s="14" t="n">
        <v>10725</v>
      </c>
      <c r="G3" s="14" t="n">
        <v>128700</v>
      </c>
      <c r="H3" s="13" t="inlineStr">
        <is>
          <t>admin@pathwave</t>
        </is>
      </c>
      <c r="I3" s="15" t="inlineStr">
        <is>
          <t>대기</t>
        </is>
      </c>
      <c r="J3" s="16" t="inlineStr">
        <is>
          <t>2026-06-02</t>
        </is>
      </c>
      <c r="K3" s="16" t="inlineStr">
        <is>
          <t>2026-06-03</t>
        </is>
      </c>
      <c r="L3" s="13" t="inlineStr">
        <is>
          <t>$99/년 일시불, 이메일 이관 어려움</t>
        </is>
      </c>
    </row>
    <row r="4">
      <c r="A4" s="12" t="n">
        <v>1</v>
      </c>
      <c r="B4" s="13" t="inlineStr">
        <is>
          <t>스토어</t>
        </is>
      </c>
      <c r="C4" s="13" t="inlineStr">
        <is>
          <t>Google Play Console</t>
        </is>
      </c>
      <c r="D4" s="13" t="inlineStr">
        <is>
          <t>Google</t>
        </is>
      </c>
      <c r="E4" s="13" t="inlineStr">
        <is>
          <t>필수</t>
        </is>
      </c>
      <c r="F4" s="14" t="n">
        <v>0</v>
      </c>
      <c r="G4" s="14" t="n">
        <v>32500</v>
      </c>
      <c r="H4" s="13" t="inlineStr">
        <is>
          <t>admin@pathwave</t>
        </is>
      </c>
      <c r="I4" s="15" t="inlineStr">
        <is>
          <t>대기</t>
        </is>
      </c>
      <c r="J4" s="16" t="inlineStr">
        <is>
          <t>2026-06-02</t>
        </is>
      </c>
      <c r="K4" s="16" t="inlineStr">
        <is>
          <t>2026-06-03</t>
        </is>
      </c>
      <c r="L4" s="13" t="inlineStr">
        <is>
          <t>$25 일회성</t>
        </is>
      </c>
    </row>
    <row r="5">
      <c r="A5" s="12" t="n">
        <v>1</v>
      </c>
      <c r="B5" s="13" t="inlineStr">
        <is>
          <t>도메인</t>
        </is>
      </c>
      <c r="C5" s="13" t="inlineStr">
        <is>
          <t>pathwave.co.kr (서비스)</t>
        </is>
      </c>
      <c r="D5" s="13" t="inlineStr">
        <is>
          <t>Cloudflare / 가비아</t>
        </is>
      </c>
      <c r="E5" s="13" t="inlineStr">
        <is>
          <t>필수</t>
        </is>
      </c>
      <c r="F5" s="14" t="n">
        <v>2500</v>
      </c>
      <c r="G5" s="14" t="n">
        <v>30000</v>
      </c>
      <c r="H5" s="13" t="inlineStr">
        <is>
          <t>admin@pathwave</t>
        </is>
      </c>
      <c r="I5" s="15" t="inlineStr">
        <is>
          <t>대기</t>
        </is>
      </c>
      <c r="J5" s="16" t="inlineStr">
        <is>
          <t>2026-06-02</t>
        </is>
      </c>
      <c r="K5" s="16" t="inlineStr">
        <is>
          <t>2026-06-02</t>
        </is>
      </c>
      <c r="L5" s="13" t="inlineStr">
        <is>
          <t>연 3만원 ÷ 12</t>
        </is>
      </c>
    </row>
    <row r="6">
      <c r="A6" s="12" t="n">
        <v>1</v>
      </c>
      <c r="B6" s="13" t="inlineStr">
        <is>
          <t>도메인</t>
        </is>
      </c>
      <c r="C6" s="13" t="inlineStr">
        <is>
          <t>triggersoft.kr (법인)</t>
        </is>
      </c>
      <c r="D6" s="13" t="inlineStr">
        <is>
          <t>Cloudflare / 가비아</t>
        </is>
      </c>
      <c r="E6" s="13" t="inlineStr">
        <is>
          <t>필수</t>
        </is>
      </c>
      <c r="F6" s="14" t="n">
        <v>2500</v>
      </c>
      <c r="G6" s="14" t="n">
        <v>30000</v>
      </c>
      <c r="H6" s="13" t="inlineStr">
        <is>
          <t>admin@triggersoft</t>
        </is>
      </c>
      <c r="I6" s="15" t="inlineStr">
        <is>
          <t>대기</t>
        </is>
      </c>
      <c r="J6" s="16" t="inlineStr">
        <is>
          <t>2026-06-02</t>
        </is>
      </c>
      <c r="K6" s="16" t="inlineStr">
        <is>
          <t>2026-06-02</t>
        </is>
      </c>
      <c r="L6" s="13" t="inlineStr">
        <is>
          <t>법인 사업·세무·회계용</t>
        </is>
      </c>
    </row>
    <row r="7">
      <c r="A7" s="12" t="n">
        <v>1</v>
      </c>
      <c r="B7" s="13" t="inlineStr">
        <is>
          <t>호스팅</t>
        </is>
      </c>
      <c r="C7" s="13" t="inlineStr">
        <is>
          <t>Cloudflare DNS/Tunnel</t>
        </is>
      </c>
      <c r="D7" s="13" t="inlineStr">
        <is>
          <t>Cloudflare</t>
        </is>
      </c>
      <c r="E7" s="13" t="inlineStr">
        <is>
          <t>필수</t>
        </is>
      </c>
      <c r="F7" s="14" t="n">
        <v>0</v>
      </c>
      <c r="G7" s="14" t="n">
        <v>0</v>
      </c>
      <c r="H7" s="13" t="inlineStr">
        <is>
          <t>admin@pathwave</t>
        </is>
      </c>
      <c r="I7" s="15" t="inlineStr">
        <is>
          <t>대기</t>
        </is>
      </c>
      <c r="J7" s="16" t="inlineStr">
        <is>
          <t>2026-06-02</t>
        </is>
      </c>
      <c r="K7" s="16" t="inlineStr">
        <is>
          <t>2026-06-02</t>
        </is>
      </c>
      <c r="L7" s="13" t="inlineStr">
        <is>
          <t>무료 — DNS + dev 서버 외부 접근</t>
        </is>
      </c>
    </row>
    <row r="8">
      <c r="A8" s="12" t="n">
        <v>1</v>
      </c>
      <c r="B8" s="13" t="inlineStr">
        <is>
          <t>호스팅</t>
        </is>
      </c>
      <c r="C8" s="13" t="inlineStr">
        <is>
          <t>백엔드 서버</t>
        </is>
      </c>
      <c r="D8" s="13" t="inlineStr">
        <is>
          <t>AWS EC2 / Render / Railway</t>
        </is>
      </c>
      <c r="E8" s="13" t="inlineStr">
        <is>
          <t>필수</t>
        </is>
      </c>
      <c r="F8" s="14" t="n">
        <v>50000</v>
      </c>
      <c r="G8" s="14" t="n">
        <v>0</v>
      </c>
      <c r="H8" s="13" t="inlineStr">
        <is>
          <t>admin@pathwave</t>
        </is>
      </c>
      <c r="I8" s="15" t="inlineStr">
        <is>
          <t>대기</t>
        </is>
      </c>
      <c r="J8" s="16" t="inlineStr">
        <is>
          <t>2026-06-02</t>
        </is>
      </c>
      <c r="K8" s="16" t="inlineStr">
        <is>
          <t>2026-06-09</t>
        </is>
      </c>
      <c r="L8" s="13" t="inlineStr">
        <is>
          <t>Flask + gunicorn</t>
        </is>
      </c>
    </row>
    <row r="9">
      <c r="A9" s="12" t="n">
        <v>1</v>
      </c>
      <c r="B9" s="13" t="inlineStr">
        <is>
          <t>호스팅</t>
        </is>
      </c>
      <c r="C9" s="13" t="inlineStr">
        <is>
          <t>PostgreSQL DB</t>
        </is>
      </c>
      <c r="D9" s="13" t="inlineStr">
        <is>
          <t>AWS RDS / Supabase / Neon</t>
        </is>
      </c>
      <c r="E9" s="13" t="inlineStr">
        <is>
          <t>필수</t>
        </is>
      </c>
      <c r="F9" s="14" t="n">
        <v>30000</v>
      </c>
      <c r="G9" s="14" t="n">
        <v>0</v>
      </c>
      <c r="H9" s="13" t="inlineStr">
        <is>
          <t>admin@pathwave</t>
        </is>
      </c>
      <c r="I9" s="15" t="inlineStr">
        <is>
          <t>대기</t>
        </is>
      </c>
      <c r="J9" s="16" t="inlineStr">
        <is>
          <t>2026-06-02</t>
        </is>
      </c>
      <c r="K9" s="16" t="inlineStr">
        <is>
          <t>2026-06-09</t>
        </is>
      </c>
      <c r="L9" s="13" t="inlineStr">
        <is>
          <t>DATABASE_URL</t>
        </is>
      </c>
    </row>
    <row r="10">
      <c r="A10" s="12" t="n">
        <v>1</v>
      </c>
      <c r="B10" s="13" t="inlineStr">
        <is>
          <t>호스팅</t>
        </is>
      </c>
      <c r="C10" s="13" t="inlineStr">
        <is>
          <t>프론트 정적 호스팅</t>
        </is>
      </c>
      <c r="D10" s="13" t="inlineStr">
        <is>
          <t>Vercel / Netlify / CFP</t>
        </is>
      </c>
      <c r="E10" s="13" t="inlineStr">
        <is>
          <t>필수</t>
        </is>
      </c>
      <c r="F10" s="14" t="n">
        <v>0</v>
      </c>
      <c r="G10" s="14" t="n">
        <v>0</v>
      </c>
      <c r="H10" s="13" t="inlineStr">
        <is>
          <t>admin@pathwave</t>
        </is>
      </c>
      <c r="I10" s="15" t="inlineStr">
        <is>
          <t>대기</t>
        </is>
      </c>
      <c r="J10" s="16" t="inlineStr">
        <is>
          <t>2026-06-02</t>
        </is>
      </c>
      <c r="K10" s="16" t="inlineStr">
        <is>
          <t>2026-06-03</t>
        </is>
      </c>
      <c r="L10" s="13" t="inlineStr">
        <is>
          <t>무료 tier</t>
        </is>
      </c>
    </row>
    <row r="11">
      <c r="A11" s="12" t="n">
        <v>1</v>
      </c>
      <c r="B11" s="13" t="inlineStr">
        <is>
          <t>인증/푸시</t>
        </is>
      </c>
      <c r="C11" s="13" t="inlineStr">
        <is>
          <t>Firebase Auth + FCM</t>
        </is>
      </c>
      <c r="D11" s="13" t="inlineStr">
        <is>
          <t>Google</t>
        </is>
      </c>
      <c r="E11" s="13" t="inlineStr">
        <is>
          <t>필수</t>
        </is>
      </c>
      <c r="F11" s="14" t="n">
        <v>0</v>
      </c>
      <c r="G11" s="14" t="n">
        <v>0</v>
      </c>
      <c r="H11" s="13" t="inlineStr">
        <is>
          <t>dev@pathwave</t>
        </is>
      </c>
      <c r="I11" s="15" t="inlineStr">
        <is>
          <t>대기</t>
        </is>
      </c>
      <c r="J11" s="16" t="inlineStr">
        <is>
          <t>2026-06-02</t>
        </is>
      </c>
      <c r="K11" s="16" t="inlineStr">
        <is>
          <t>2026-06-03</t>
        </is>
      </c>
      <c r="L11" s="13" t="inlineStr">
        <is>
          <t>FIREBASE_CREDENTIALS · 무료 tier</t>
        </is>
      </c>
    </row>
    <row r="12">
      <c r="A12" s="12" t="n">
        <v>1</v>
      </c>
      <c r="B12" s="13" t="inlineStr">
        <is>
          <t>이메일도메인</t>
        </is>
      </c>
      <c r="C12" s="13" t="inlineStr">
        <is>
          <t>Google Workspace (Pathwave)</t>
        </is>
      </c>
      <c r="D12" s="13" t="inlineStr">
        <is>
          <t>Google</t>
        </is>
      </c>
      <c r="E12" s="13" t="inlineStr">
        <is>
          <t>필수</t>
        </is>
      </c>
      <c r="F12" s="14" t="n">
        <v>9100</v>
      </c>
      <c r="G12" s="14" t="n">
        <v>0</v>
      </c>
      <c r="H12" s="13" t="inlineStr">
        <is>
          <t>admin@pathwave</t>
        </is>
      </c>
      <c r="I12" s="15" t="inlineStr">
        <is>
          <t>대기</t>
        </is>
      </c>
      <c r="J12" s="16" t="inlineStr">
        <is>
          <t>2026-06-02</t>
        </is>
      </c>
      <c r="K12" s="16" t="inlineStr">
        <is>
          <t>2026-06-02</t>
        </is>
      </c>
      <c r="L12" s="13" t="inlineStr">
        <is>
          <t>$7 × 1계정 + 4 alias (admin/dev/support/noreply/info)</t>
        </is>
      </c>
    </row>
    <row r="13">
      <c r="A13" s="12" t="n">
        <v>1</v>
      </c>
      <c r="B13" s="13" t="inlineStr">
        <is>
          <t>이메일도메인</t>
        </is>
      </c>
      <c r="C13" s="13" t="inlineStr">
        <is>
          <t>Google Workspace (Triggersoft)</t>
        </is>
      </c>
      <c r="D13" s="13" t="inlineStr">
        <is>
          <t>Google</t>
        </is>
      </c>
      <c r="E13" s="13" t="inlineStr">
        <is>
          <t>필수</t>
        </is>
      </c>
      <c r="F13" s="14" t="n">
        <v>9100</v>
      </c>
      <c r="G13" s="14" t="n">
        <v>0</v>
      </c>
      <c r="H13" s="13" t="inlineStr">
        <is>
          <t>admin@triggersoft</t>
        </is>
      </c>
      <c r="I13" s="15" t="inlineStr">
        <is>
          <t>대기</t>
        </is>
      </c>
      <c r="J13" s="16" t="inlineStr">
        <is>
          <t>2026-06-02</t>
        </is>
      </c>
      <c r="K13" s="16" t="inlineStr">
        <is>
          <t>2026-06-02</t>
        </is>
      </c>
      <c r="L13" s="13" t="inlineStr">
        <is>
          <t>$7 × 1계정 (법인 운영)</t>
        </is>
      </c>
    </row>
    <row r="14">
      <c r="A14" s="17" t="n">
        <v>2</v>
      </c>
      <c r="B14" s="13" t="inlineStr">
        <is>
          <t>소셜로그인</t>
        </is>
      </c>
      <c r="C14" s="13" t="inlineStr">
        <is>
          <t>카카오 로그인</t>
        </is>
      </c>
      <c r="D14" s="13" t="inlineStr">
        <is>
          <t>Kakao</t>
        </is>
      </c>
      <c r="E14" s="13" t="inlineStr">
        <is>
          <t>필수</t>
        </is>
      </c>
      <c r="F14" s="14" t="n">
        <v>0</v>
      </c>
      <c r="G14" s="14" t="n">
        <v>0</v>
      </c>
      <c r="H14" s="13" t="inlineStr">
        <is>
          <t>info@pathwave</t>
        </is>
      </c>
      <c r="I14" s="15" t="inlineStr">
        <is>
          <t>대기</t>
        </is>
      </c>
      <c r="J14" s="16" t="inlineStr">
        <is>
          <t>2026-06-02</t>
        </is>
      </c>
      <c r="K14" s="16" t="inlineStr">
        <is>
          <t>2026-06-16</t>
        </is>
      </c>
      <c r="L14" s="13" t="inlineStr">
        <is>
          <t>KAKAO_REST_KEY · 검수 1~2주</t>
        </is>
      </c>
    </row>
    <row r="15">
      <c r="A15" s="17" t="n">
        <v>2</v>
      </c>
      <c r="B15" s="13" t="inlineStr">
        <is>
          <t>소셜로그인</t>
        </is>
      </c>
      <c r="C15" s="13" t="inlineStr">
        <is>
          <t>네이버 로그인</t>
        </is>
      </c>
      <c r="D15" s="13" t="inlineStr">
        <is>
          <t>Naver</t>
        </is>
      </c>
      <c r="E15" s="13" t="inlineStr">
        <is>
          <t>필수</t>
        </is>
      </c>
      <c r="F15" s="14" t="n">
        <v>0</v>
      </c>
      <c r="G15" s="14" t="n">
        <v>0</v>
      </c>
      <c r="H15" s="13" t="inlineStr">
        <is>
          <t>info@pathwave</t>
        </is>
      </c>
      <c r="I15" s="15" t="inlineStr">
        <is>
          <t>대기</t>
        </is>
      </c>
      <c r="J15" s="16" t="inlineStr">
        <is>
          <t>2026-06-02</t>
        </is>
      </c>
      <c r="K15" s="16" t="inlineStr">
        <is>
          <t>2026-06-09</t>
        </is>
      </c>
      <c r="L15" s="13" t="inlineStr">
        <is>
          <t>NAVER_CLIENT_ID</t>
        </is>
      </c>
    </row>
    <row r="16">
      <c r="A16" s="17" t="n">
        <v>2</v>
      </c>
      <c r="B16" s="13" t="inlineStr">
        <is>
          <t>알림톡/SMS</t>
        </is>
      </c>
      <c r="C16" s="13" t="inlineStr">
        <is>
          <t>솔라피 알림톡</t>
        </is>
      </c>
      <c r="D16" s="13" t="inlineStr">
        <is>
          <t>Solapi</t>
        </is>
      </c>
      <c r="E16" s="13" t="inlineStr">
        <is>
          <t>필수</t>
        </is>
      </c>
      <c r="F16" s="14" t="n">
        <v>0</v>
      </c>
      <c r="G16" s="14" t="n">
        <v>0</v>
      </c>
      <c r="H16" s="13" t="inlineStr">
        <is>
          <t>dev@pathwave</t>
        </is>
      </c>
      <c r="I16" s="15" t="inlineStr">
        <is>
          <t>대기</t>
        </is>
      </c>
      <c r="J16" s="16" t="inlineStr">
        <is>
          <t>2026-06-02</t>
        </is>
      </c>
      <c r="K16" s="16" t="inlineStr">
        <is>
          <t>2026-06-16</t>
        </is>
      </c>
      <c r="L16" s="13" t="inlineStr">
        <is>
          <t>템플릿 사전심사 1~2주, 건당 9원 (사용량 기반)</t>
        </is>
      </c>
    </row>
    <row r="17">
      <c r="A17" s="17" t="n">
        <v>2</v>
      </c>
      <c r="B17" s="13" t="inlineStr">
        <is>
          <t>알림톡/SMS</t>
        </is>
      </c>
      <c r="C17" s="13" t="inlineStr">
        <is>
          <t>솔라피 SMS 인증</t>
        </is>
      </c>
      <c r="D17" s="13" t="inlineStr">
        <is>
          <t>Solapi</t>
        </is>
      </c>
      <c r="E17" s="13" t="inlineStr">
        <is>
          <t>필수</t>
        </is>
      </c>
      <c r="F17" s="14" t="n">
        <v>0</v>
      </c>
      <c r="G17" s="14" t="n">
        <v>0</v>
      </c>
      <c r="H17" s="13" t="inlineStr">
        <is>
          <t>dev@pathwave</t>
        </is>
      </c>
      <c r="I17" s="15" t="inlineStr">
        <is>
          <t>대기</t>
        </is>
      </c>
      <c r="J17" s="16" t="inlineStr">
        <is>
          <t>2026-06-02</t>
        </is>
      </c>
      <c r="K17" s="16" t="inlineStr">
        <is>
          <t>2026-06-09</t>
        </is>
      </c>
      <c r="L17" s="13" t="inlineStr">
        <is>
          <t>건당 8~15원</t>
        </is>
      </c>
    </row>
    <row r="18">
      <c r="A18" s="17" t="n">
        <v>2</v>
      </c>
      <c r="B18" s="13" t="inlineStr">
        <is>
          <t>이메일</t>
        </is>
      </c>
      <c r="C18" s="13" t="inlineStr">
        <is>
          <t>SendGrid</t>
        </is>
      </c>
      <c r="D18" s="13" t="inlineStr">
        <is>
          <t>Twilio</t>
        </is>
      </c>
      <c r="E18" s="13" t="inlineStr">
        <is>
          <t>필수</t>
        </is>
      </c>
      <c r="F18" s="14" t="n">
        <v>0</v>
      </c>
      <c r="G18" s="14" t="n">
        <v>0</v>
      </c>
      <c r="H18" s="13" t="inlineStr">
        <is>
          <t>dev@pathwave</t>
        </is>
      </c>
      <c r="I18" s="15" t="inlineStr">
        <is>
          <t>대기</t>
        </is>
      </c>
      <c r="J18" s="16" t="inlineStr">
        <is>
          <t>2026-06-02</t>
        </is>
      </c>
      <c r="K18" s="16" t="inlineStr">
        <is>
          <t>2026-06-03</t>
        </is>
      </c>
      <c r="L18" s="13" t="inlineStr">
        <is>
          <t>무료 100통/일 · 발신: support@</t>
        </is>
      </c>
    </row>
    <row r="19">
      <c r="A19" s="17" t="n">
        <v>2</v>
      </c>
      <c r="B19" s="13" t="inlineStr">
        <is>
          <t>모니터링</t>
        </is>
      </c>
      <c r="C19" s="13" t="inlineStr">
        <is>
          <t>Sentry</t>
        </is>
      </c>
      <c r="D19" s="13" t="inlineStr">
        <is>
          <t>Sentry</t>
        </is>
      </c>
      <c r="E19" s="13" t="inlineStr">
        <is>
          <t>필수</t>
        </is>
      </c>
      <c r="F19" s="14" t="n">
        <v>0</v>
      </c>
      <c r="G19" s="14" t="n">
        <v>0</v>
      </c>
      <c r="H19" s="13" t="inlineStr">
        <is>
          <t>dev@pathwave</t>
        </is>
      </c>
      <c r="I19" s="15" t="inlineStr">
        <is>
          <t>대기</t>
        </is>
      </c>
      <c r="J19" s="16" t="inlineStr">
        <is>
          <t>2026-06-02</t>
        </is>
      </c>
      <c r="K19" s="16" t="inlineStr">
        <is>
          <t>2026-06-03</t>
        </is>
      </c>
      <c r="L19" s="13" t="inlineStr">
        <is>
          <t>무료 5K events/월</t>
        </is>
      </c>
    </row>
    <row r="20">
      <c r="A20" s="17" t="n">
        <v>2</v>
      </c>
      <c r="B20" s="13" t="inlineStr">
        <is>
          <t>지도</t>
        </is>
      </c>
      <c r="C20" s="13" t="inlineStr">
        <is>
          <t>Google Maps API</t>
        </is>
      </c>
      <c r="D20" s="13" t="inlineStr">
        <is>
          <t>Google</t>
        </is>
      </c>
      <c r="E20" s="13" t="inlineStr">
        <is>
          <t>필수</t>
        </is>
      </c>
      <c r="F20" s="14" t="n">
        <v>0</v>
      </c>
      <c r="G20" s="14" t="n">
        <v>0</v>
      </c>
      <c r="H20" s="13" t="inlineStr">
        <is>
          <t>dev@pathwave</t>
        </is>
      </c>
      <c r="I20" s="15" t="inlineStr">
        <is>
          <t>대기</t>
        </is>
      </c>
      <c r="J20" s="16" t="inlineStr">
        <is>
          <t>2026-06-02</t>
        </is>
      </c>
      <c r="K20" s="16" t="inlineStr">
        <is>
          <t>2026-06-03</t>
        </is>
      </c>
      <c r="L20" s="13" t="inlineStr">
        <is>
          <t>월 $200 무료 크레딧</t>
        </is>
      </c>
    </row>
    <row r="21">
      <c r="A21" s="18" t="n">
        <v>3</v>
      </c>
      <c r="B21" s="13" t="inlineStr">
        <is>
          <t>본인인증</t>
        </is>
      </c>
      <c r="C21" s="13" t="inlineStr">
        <is>
          <t>NICE / KCB / PASS</t>
        </is>
      </c>
      <c r="D21" s="13" t="inlineStr">
        <is>
          <t>본인인증 사업자</t>
        </is>
      </c>
      <c r="E21" s="13" t="inlineStr">
        <is>
          <t>선택</t>
        </is>
      </c>
      <c r="F21" s="14" t="n">
        <v>2500</v>
      </c>
      <c r="G21" s="14" t="n">
        <v>100000</v>
      </c>
      <c r="H21" s="13" t="inlineStr">
        <is>
          <t>admin@pathwave</t>
        </is>
      </c>
      <c r="I21" s="15" t="inlineStr">
        <is>
          <t>대기</t>
        </is>
      </c>
      <c r="J21" s="16" t="inlineStr">
        <is>
          <t>2026-06-말</t>
        </is>
      </c>
      <c r="K21" s="16" t="inlineStr">
        <is>
          <t>2026-07-중</t>
        </is>
      </c>
      <c r="L21" s="13" t="inlineStr">
        <is>
          <t>계약 보증금 + 건당 30~80원</t>
        </is>
      </c>
    </row>
    <row r="22">
      <c r="A22" s="18" t="n">
        <v>3</v>
      </c>
      <c r="B22" s="13" t="inlineStr">
        <is>
          <t>번역</t>
        </is>
      </c>
      <c r="C22" s="13" t="inlineStr">
        <is>
          <t>Google Translate / DeepL</t>
        </is>
      </c>
      <c r="D22" s="13" t="inlineStr">
        <is>
          <t>Google / DeepL</t>
        </is>
      </c>
      <c r="E22" s="13" t="inlineStr">
        <is>
          <t>선택</t>
        </is>
      </c>
      <c r="F22" s="14" t="n">
        <v>30000</v>
      </c>
      <c r="G22" s="14" t="n">
        <v>0</v>
      </c>
      <c r="H22" s="13" t="inlineStr">
        <is>
          <t>dev@pathwave</t>
        </is>
      </c>
      <c r="I22" s="15" t="inlineStr">
        <is>
          <t>대기</t>
        </is>
      </c>
      <c r="J22" s="16" t="inlineStr">
        <is>
          <t>2026-07-초</t>
        </is>
      </c>
      <c r="K22" s="16" t="inlineStr">
        <is>
          <t>2026-07-중</t>
        </is>
      </c>
      <c r="L22" s="13" t="inlineStr">
        <is>
          <t>P8b 채팅 자동번역 USP</t>
        </is>
      </c>
    </row>
    <row r="23">
      <c r="A23" s="18" t="n">
        <v>3</v>
      </c>
      <c r="B23" s="13" t="inlineStr">
        <is>
          <t>자동화 S2</t>
        </is>
      </c>
      <c r="C23" s="13" t="inlineStr">
        <is>
          <t>Channeltalk</t>
        </is>
      </c>
      <c r="D23" s="13" t="inlineStr">
        <is>
          <t>Channel.io</t>
        </is>
      </c>
      <c r="E23" s="13" t="inlineStr">
        <is>
          <t>선택</t>
        </is>
      </c>
      <c r="F23" s="14" t="n">
        <v>0</v>
      </c>
      <c r="G23" s="14" t="n">
        <v>0</v>
      </c>
      <c r="H23" s="13" t="inlineStr">
        <is>
          <t>dev@pathwave</t>
        </is>
      </c>
      <c r="I23" s="15" t="inlineStr">
        <is>
          <t>대기</t>
        </is>
      </c>
      <c r="J23" s="16" t="inlineStr">
        <is>
          <t>출시 후</t>
        </is>
      </c>
      <c r="K23" s="16" t="inlineStr"/>
      <c r="L23" s="13" t="inlineStr">
        <is>
          <t>무료~5만원/월</t>
        </is>
      </c>
    </row>
    <row r="24">
      <c r="A24" s="18" t="n">
        <v>3</v>
      </c>
      <c r="B24" s="13" t="inlineStr">
        <is>
          <t>자동화 S2</t>
        </is>
      </c>
      <c r="C24" s="13" t="inlineStr">
        <is>
          <t>ChatGPT API</t>
        </is>
      </c>
      <c r="D24" s="13" t="inlineStr">
        <is>
          <t>OpenAI</t>
        </is>
      </c>
      <c r="E24" s="13" t="inlineStr">
        <is>
          <t>선택</t>
        </is>
      </c>
      <c r="F24" s="14" t="n">
        <v>30000</v>
      </c>
      <c r="G24" s="14" t="n">
        <v>0</v>
      </c>
      <c r="H24" s="13" t="inlineStr">
        <is>
          <t>dev@pathwave</t>
        </is>
      </c>
      <c r="I24" s="15" t="inlineStr">
        <is>
          <t>대기</t>
        </is>
      </c>
      <c r="J24" s="16" t="inlineStr">
        <is>
          <t>출시 후</t>
        </is>
      </c>
      <c r="K24" s="16" t="inlineStr"/>
      <c r="L24" s="13" t="inlineStr">
        <is>
          <t>OPENAI_API_KEY · 응대 자동화</t>
        </is>
      </c>
    </row>
    <row r="25">
      <c r="A25" s="18" t="n">
        <v>3</v>
      </c>
      <c r="B25" s="13" t="inlineStr">
        <is>
          <t>자동화 S2</t>
        </is>
      </c>
      <c r="C25" s="13" t="inlineStr">
        <is>
          <t>Make.com</t>
        </is>
      </c>
      <c r="D25" s="13" t="inlineStr">
        <is>
          <t>Make</t>
        </is>
      </c>
      <c r="E25" s="13" t="inlineStr">
        <is>
          <t>선택</t>
        </is>
      </c>
      <c r="F25" s="14" t="n">
        <v>0</v>
      </c>
      <c r="G25" s="14" t="n">
        <v>0</v>
      </c>
      <c r="H25" s="13" t="inlineStr">
        <is>
          <t>dev@pathwave</t>
        </is>
      </c>
      <c r="I25" s="15" t="inlineStr">
        <is>
          <t>대기</t>
        </is>
      </c>
      <c r="J25" s="16" t="inlineStr">
        <is>
          <t>출시 후</t>
        </is>
      </c>
      <c r="K25" s="16" t="inlineStr"/>
      <c r="L25" s="13" t="inlineStr">
        <is>
          <t>무료~$9~30/월</t>
        </is>
      </c>
    </row>
    <row r="26">
      <c r="A26" s="18" t="n">
        <v>3</v>
      </c>
      <c r="B26" s="13" t="inlineStr">
        <is>
          <t>자동화 S2</t>
        </is>
      </c>
      <c r="C26" s="13" t="inlineStr">
        <is>
          <t>Buffer / Metricool</t>
        </is>
      </c>
      <c r="D26" s="13" t="inlineStr">
        <is>
          <t>Buffer / Metricool</t>
        </is>
      </c>
      <c r="E26" s="13" t="inlineStr">
        <is>
          <t>선택</t>
        </is>
      </c>
      <c r="F26" s="14" t="n">
        <v>0</v>
      </c>
      <c r="G26" s="14" t="n">
        <v>0</v>
      </c>
      <c r="H26" s="13" t="inlineStr">
        <is>
          <t>info@pathwave</t>
        </is>
      </c>
      <c r="I26" s="15" t="inlineStr">
        <is>
          <t>대기</t>
        </is>
      </c>
      <c r="J26" s="16" t="inlineStr">
        <is>
          <t>출시 후</t>
        </is>
      </c>
      <c r="K26" s="16" t="inlineStr"/>
      <c r="L26" s="13" t="inlineStr">
        <is>
          <t>SNS 자동 게시</t>
        </is>
      </c>
    </row>
    <row r="27">
      <c r="A27" s="18" t="n">
        <v>3</v>
      </c>
      <c r="B27" s="13" t="inlineStr">
        <is>
          <t>자동화 S3</t>
        </is>
      </c>
      <c r="C27" s="13" t="inlineStr">
        <is>
          <t>HubSpot CRM</t>
        </is>
      </c>
      <c r="D27" s="13" t="inlineStr">
        <is>
          <t>HubSpot</t>
        </is>
      </c>
      <c r="E27" s="13" t="inlineStr">
        <is>
          <t>선택</t>
        </is>
      </c>
      <c r="F27" s="14" t="n">
        <v>0</v>
      </c>
      <c r="G27" s="14" t="n">
        <v>0</v>
      </c>
      <c r="H27" s="13" t="inlineStr">
        <is>
          <t>admin@pathwave</t>
        </is>
      </c>
      <c r="I27" s="15" t="inlineStr">
        <is>
          <t>대기</t>
        </is>
      </c>
      <c r="J27" s="16" t="inlineStr">
        <is>
          <t>+3개월</t>
        </is>
      </c>
      <c r="K27" s="16" t="inlineStr"/>
      <c r="L27" s="13" t="inlineStr">
        <is>
          <t>$20~50/월</t>
        </is>
      </c>
    </row>
    <row r="28">
      <c r="A28" s="18" t="n">
        <v>3</v>
      </c>
      <c r="B28" s="13" t="inlineStr">
        <is>
          <t>자동화 S2</t>
        </is>
      </c>
      <c r="C28" s="13" t="inlineStr">
        <is>
          <t>Twilio Voice</t>
        </is>
      </c>
      <c r="D28" s="13" t="inlineStr">
        <is>
          <t>Twilio</t>
        </is>
      </c>
      <c r="E28" s="13" t="inlineStr">
        <is>
          <t>선택</t>
        </is>
      </c>
      <c r="F28" s="14" t="n">
        <v>0</v>
      </c>
      <c r="G28" s="14" t="n">
        <v>0</v>
      </c>
      <c r="H28" s="13" t="inlineStr">
        <is>
          <t>admin@pathwave</t>
        </is>
      </c>
      <c r="I28" s="15" t="inlineStr">
        <is>
          <t>대기</t>
        </is>
      </c>
      <c r="J28" s="16" t="inlineStr">
        <is>
          <t>+3개월</t>
        </is>
      </c>
      <c r="K28" s="16" t="inlineStr"/>
      <c r="L28" s="13" t="inlineStr">
        <is>
          <t>AI 음성 통화</t>
        </is>
      </c>
    </row>
    <row r="29">
      <c r="A29" s="13" t="inlineStr"/>
      <c r="B29" s="13" t="inlineStr"/>
      <c r="C29" s="13" t="inlineStr"/>
      <c r="D29" s="19" t="inlineStr">
        <is>
          <t>합계</t>
        </is>
      </c>
      <c r="E29" s="13" t="inlineStr"/>
      <c r="F29" s="20">
        <f>SUM(F2:F28)</f>
        <v/>
      </c>
      <c r="G29" s="20">
        <f>SUM(G2:G28)</f>
        <v/>
      </c>
      <c r="H29" s="13" t="inlineStr"/>
      <c r="I29" s="13" t="inlineStr"/>
      <c r="J29" s="13" t="inlineStr"/>
      <c r="K29" s="13" t="inlineStr"/>
      <c r="L29" s="13" t="inlineStr"/>
    </row>
  </sheetData>
  <dataValidations count="2">
    <dataValidation sqref="I2:I28" showDropDown="0" showInputMessage="0" showErrorMessage="0" allowBlank="1" type="list">
      <formula1>"대기,신청중,검수중,활성,보류"</formula1>
    </dataValidation>
    <dataValidation sqref="A2:A28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36" customWidth="1" min="4" max="4"/>
  </cols>
  <sheetData>
    <row r="1">
      <c r="A1" s="1" t="inlineStr">
        <is>
          <t>초기 세팅비 — 출시 전 1회성 / 연 1회 비용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11" t="inlineStr">
        <is>
          <t>항목</t>
        </is>
      </c>
      <c r="B3" s="11" t="inlineStr">
        <is>
          <t>금액 (₩)</t>
        </is>
      </c>
      <c r="C3" s="11" t="inlineStr">
        <is>
          <t>주기</t>
        </is>
      </c>
      <c r="D3" s="11" t="inlineStr">
        <is>
          <t>비고</t>
        </is>
      </c>
    </row>
    <row r="4">
      <c r="A4" s="13" t="inlineStr">
        <is>
          <t>Apple Developer Program 첫 회비</t>
        </is>
      </c>
      <c r="B4" s="14" t="n">
        <v>128700</v>
      </c>
      <c r="C4" s="13" t="inlineStr">
        <is>
          <t>연 1회</t>
        </is>
      </c>
      <c r="D4" s="13" t="inlineStr">
        <is>
          <t>$99/년 (USD 1=₩1,300)</t>
        </is>
      </c>
    </row>
    <row r="5">
      <c r="A5" s="13" t="inlineStr">
        <is>
          <t>Google Play Console 등록비</t>
        </is>
      </c>
      <c r="B5" s="14" t="n">
        <v>32500</v>
      </c>
      <c r="C5" s="13" t="inlineStr">
        <is>
          <t>일회성</t>
        </is>
      </c>
      <c r="D5" s="13" t="inlineStr">
        <is>
          <t>$25 일회성</t>
        </is>
      </c>
    </row>
    <row r="6">
      <c r="A6" s="13" t="inlineStr">
        <is>
          <t>도메인 첫 등록 — pathwave.co.kr</t>
        </is>
      </c>
      <c r="B6" s="14" t="n">
        <v>30000</v>
      </c>
      <c r="C6" s="13" t="inlineStr">
        <is>
          <t>연 1회</t>
        </is>
      </c>
      <c r="D6" s="13" t="inlineStr">
        <is>
          <t>서비스 도메인</t>
        </is>
      </c>
    </row>
    <row r="7">
      <c r="A7" s="13" t="inlineStr">
        <is>
          <t>도메인 첫 등록 — triggersoft.kr</t>
        </is>
      </c>
      <c r="B7" s="14" t="n">
        <v>30000</v>
      </c>
      <c r="C7" s="13" t="inlineStr">
        <is>
          <t>연 1회</t>
        </is>
      </c>
      <c r="D7" s="13" t="inlineStr">
        <is>
          <t>법인 운영 도메인</t>
        </is>
      </c>
    </row>
    <row r="8">
      <c r="A8" s="13" t="inlineStr">
        <is>
          <t>Mac mini M1 16GB/256GB 중고 (선택)</t>
        </is>
      </c>
      <c r="B8" s="14" t="n">
        <v>800000</v>
      </c>
      <c r="C8" s="13" t="inlineStr">
        <is>
          <t>일회성</t>
        </is>
      </c>
      <c r="D8" s="13" t="inlineStr">
        <is>
          <t>자본 여유 시 — 24/7 운영 베이스</t>
        </is>
      </c>
    </row>
    <row r="9">
      <c r="A9" s="13" t="inlineStr">
        <is>
          <t>Mac mini 주변 (외장 SSD, 케이블 등)</t>
        </is>
      </c>
      <c r="B9" s="14" t="n">
        <v>80000</v>
      </c>
      <c r="C9" s="13" t="inlineStr">
        <is>
          <t>일회성</t>
        </is>
      </c>
      <c r="D9" s="13" t="inlineStr">
        <is>
          <t>Mac mini 옵션 시</t>
        </is>
      </c>
    </row>
    <row r="10">
      <c r="A10" s="13" t="inlineStr">
        <is>
          <t>NICE 본인인증 계약 보증금 (선택)</t>
        </is>
      </c>
      <c r="B10" s="14" t="n">
        <v>100000</v>
      </c>
      <c r="C10" s="13" t="inlineStr">
        <is>
          <t>일회성</t>
        </is>
      </c>
      <c r="D10" s="13" t="inlineStr">
        <is>
          <t>미성년자 확인 도입 시</t>
        </is>
      </c>
    </row>
    <row r="11">
      <c r="A11" s="13" t="inlineStr">
        <is>
          <t>카카오 로그인 검수</t>
        </is>
      </c>
      <c r="B11" s="14" t="n">
        <v>0</v>
      </c>
      <c r="C11" s="13" t="inlineStr">
        <is>
          <t>일회성</t>
        </is>
      </c>
      <c r="D11" s="13" t="inlineStr">
        <is>
          <t>무료, 1~2주 소요</t>
        </is>
      </c>
    </row>
    <row r="12">
      <c r="A12" s="13" t="inlineStr">
        <is>
          <t>네이버 로그인 가입</t>
        </is>
      </c>
      <c r="B12" s="14" t="n">
        <v>0</v>
      </c>
      <c r="C12" s="13" t="inlineStr">
        <is>
          <t>일회성</t>
        </is>
      </c>
      <c r="D12" s="13" t="inlineStr">
        <is>
          <t>무료</t>
        </is>
      </c>
    </row>
    <row r="13">
      <c r="A13" s="13" t="inlineStr">
        <is>
          <t>솔라피 알림톡 템플릿 등록·심사</t>
        </is>
      </c>
      <c r="B13" s="14" t="n">
        <v>0</v>
      </c>
      <c r="C13" s="13" t="inlineStr">
        <is>
          <t>일회성</t>
        </is>
      </c>
      <c r="D13" s="13" t="inlineStr">
        <is>
          <t>무료, 1~2주 소요</t>
        </is>
      </c>
    </row>
    <row r="14">
      <c r="A14" s="13" t="inlineStr">
        <is>
          <t>토스페이먼츠 가맹점 가입</t>
        </is>
      </c>
      <c r="B14" s="14" t="n">
        <v>0</v>
      </c>
      <c r="C14" s="13" t="inlineStr">
        <is>
          <t>일회성</t>
        </is>
      </c>
      <c r="D14" s="13" t="inlineStr">
        <is>
          <t>무료, 심사 1~2주</t>
        </is>
      </c>
    </row>
    <row r="15">
      <c r="A15" s="13" t="inlineStr">
        <is>
          <t>사업자등록 (홈택스)</t>
        </is>
      </c>
      <c r="B15" s="14" t="n">
        <v>0</v>
      </c>
      <c r="C15" s="13" t="inlineStr">
        <is>
          <t>일회성</t>
        </is>
      </c>
      <c r="D15" s="13" t="inlineStr">
        <is>
          <t>무료 — 법인등기 후 즉시</t>
        </is>
      </c>
    </row>
    <row r="16">
      <c r="A16" s="13" t="inlineStr">
        <is>
          <t>통신판매업 신고</t>
        </is>
      </c>
      <c r="B16" s="14" t="n">
        <v>0</v>
      </c>
      <c r="C16" s="13" t="inlineStr">
        <is>
          <t>일회성</t>
        </is>
      </c>
      <c r="D16" s="13" t="inlineStr">
        <is>
          <t>무료 — 구청</t>
        </is>
      </c>
    </row>
    <row r="17">
      <c r="A17" s="13" t="inlineStr">
        <is>
          <t>위치기반서비스사업 신고</t>
        </is>
      </c>
      <c r="B17" s="14" t="n">
        <v>0</v>
      </c>
      <c r="C17" s="13" t="inlineStr">
        <is>
          <t>일회성</t>
        </is>
      </c>
      <c r="D17" s="13" t="inlineStr">
        <is>
          <t>무료 — 방통위, 수 주 소요</t>
        </is>
      </c>
    </row>
    <row r="18">
      <c r="A18" s="21" t="inlineStr">
        <is>
          <t>소계 — 필수만 (Mac mini·본인인증 제외)</t>
        </is>
      </c>
      <c r="B18" s="20">
        <f>SUM(B4:B7)+SUM(B11:B17)</f>
        <v/>
      </c>
      <c r="C18" s="13" t="inlineStr"/>
      <c r="D18" s="13" t="inlineStr">
        <is>
          <t>Mac mini·NICE 옵션 제외</t>
        </is>
      </c>
    </row>
    <row r="19">
      <c r="A19" s="21" t="inlineStr">
        <is>
          <t>소계 — 옵션 포함 (Mac mini + NICE)</t>
        </is>
      </c>
      <c r="B19" s="20">
        <f>SUM(B4:B17)</f>
        <v/>
      </c>
      <c r="C19" s="13" t="inlineStr"/>
      <c r="D19" s="13" t="inlineStr">
        <is>
          <t>전체 포함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36" customWidth="1" min="5" max="5"/>
  </cols>
  <sheetData>
    <row r="1">
      <c r="A1" s="1" t="inlineStr">
        <is>
          <t>월별 운영비 시나리오 — MAU 규모별 (사용량 기반 반복 비용만)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1" t="inlineStr">
        <is>
          <t>항목</t>
        </is>
      </c>
      <c r="B3" s="11" t="inlineStr">
        <is>
          <t>MAU 1K (매장 10)</t>
        </is>
      </c>
      <c r="C3" s="11" t="inlineStr">
        <is>
          <t>MAU 10K (매장 100)</t>
        </is>
      </c>
      <c r="D3" s="11" t="inlineStr">
        <is>
          <t>MAU 100K (매장 500)</t>
        </is>
      </c>
      <c r="E3" s="11" t="inlineStr">
        <is>
          <t>비고</t>
        </is>
      </c>
    </row>
    <row r="4">
      <c r="A4" s="13" t="inlineStr">
        <is>
          <t>서버 + DB</t>
        </is>
      </c>
      <c r="B4" s="14" t="n">
        <v>80000</v>
      </c>
      <c r="C4" s="14" t="n">
        <v>200000</v>
      </c>
      <c r="D4" s="14" t="n">
        <v>1500000</v>
      </c>
      <c r="E4" s="13" t="inlineStr">
        <is>
          <t>Render→Railway→AWS RDS 점진</t>
        </is>
      </c>
    </row>
    <row r="5">
      <c r="A5" s="13" t="inlineStr">
        <is>
          <t>도메인 (2개 × 월할)</t>
        </is>
      </c>
      <c r="B5" s="14" t="n">
        <v>5000</v>
      </c>
      <c r="C5" s="14" t="n">
        <v>5000</v>
      </c>
      <c r="D5" s="14" t="n">
        <v>5000</v>
      </c>
      <c r="E5" s="13" t="inlineStr">
        <is>
          <t>pathwave + triggersoft 연 3만원 × 2 ÷ 12</t>
        </is>
      </c>
    </row>
    <row r="6">
      <c r="A6" s="13" t="inlineStr">
        <is>
          <t>알림톡 (매장당 100건/월)</t>
        </is>
      </c>
      <c r="B6" s="14" t="n">
        <v>9000</v>
      </c>
      <c r="C6" s="14" t="n">
        <v>90000</v>
      </c>
      <c r="D6" s="14" t="n">
        <v>450000</v>
      </c>
      <c r="E6" s="13" t="inlineStr">
        <is>
          <t>매장 × 100건 × 9원</t>
        </is>
      </c>
    </row>
    <row r="7">
      <c r="A7" s="13" t="inlineStr">
        <is>
          <t>SMS 인증 + 본인인증</t>
        </is>
      </c>
      <c r="B7" s="14" t="n">
        <v>5000</v>
      </c>
      <c r="C7" s="14" t="n">
        <v>30000</v>
      </c>
      <c r="D7" s="14" t="n">
        <v>200000</v>
      </c>
      <c r="E7" s="13" t="inlineStr">
        <is>
          <t>회원가입·결제 시</t>
        </is>
      </c>
    </row>
    <row r="8">
      <c r="A8" s="13" t="inlineStr">
        <is>
          <t>이메일 (SendGrid)</t>
        </is>
      </c>
      <c r="B8" s="14" t="n">
        <v>0</v>
      </c>
      <c r="C8" s="14" t="n">
        <v>5000</v>
      </c>
      <c r="D8" s="14" t="n">
        <v>50000</v>
      </c>
      <c r="E8" s="13" t="inlineStr">
        <is>
          <t>무료 100통/일</t>
        </is>
      </c>
    </row>
    <row r="9">
      <c r="A9" s="13" t="inlineStr">
        <is>
          <t>Google Workspace (2계정 × $7)</t>
        </is>
      </c>
      <c r="B9" s="14" t="n">
        <v>18200</v>
      </c>
      <c r="C9" s="14" t="n">
        <v>18200</v>
      </c>
      <c r="D9" s="14" t="n">
        <v>18200</v>
      </c>
      <c r="E9" s="13" t="inlineStr">
        <is>
          <t>pathwave + triggersoft</t>
        </is>
      </c>
    </row>
    <row r="10">
      <c r="A10" s="13" t="inlineStr">
        <is>
          <t>모니터링 (Sentry)</t>
        </is>
      </c>
      <c r="B10" s="14" t="n">
        <v>0</v>
      </c>
      <c r="C10" s="14" t="n">
        <v>0</v>
      </c>
      <c r="D10" s="14" t="n">
        <v>50000</v>
      </c>
      <c r="E10" s="13" t="inlineStr">
        <is>
          <t>무료 5K → 대규모만 유료</t>
        </is>
      </c>
    </row>
    <row r="11">
      <c r="A11" s="13" t="inlineStr">
        <is>
          <t>Firebase / 로그인</t>
        </is>
      </c>
      <c r="B11" s="14" t="n">
        <v>0</v>
      </c>
      <c r="C11" s="14" t="n">
        <v>0</v>
      </c>
      <c r="D11" s="14" t="n">
        <v>20000</v>
      </c>
      <c r="E11" s="13" t="inlineStr">
        <is>
          <t>무료 tier</t>
        </is>
      </c>
    </row>
    <row r="12">
      <c r="A12" s="13" t="inlineStr">
        <is>
          <t>Google Maps (초과분)</t>
        </is>
      </c>
      <c r="B12" s="14" t="n">
        <v>0</v>
      </c>
      <c r="C12" s="14" t="n">
        <v>0</v>
      </c>
      <c r="D12" s="14" t="n">
        <v>30000</v>
      </c>
      <c r="E12" s="13" t="inlineStr">
        <is>
          <t>월 $200 크레딧</t>
        </is>
      </c>
    </row>
    <row r="13">
      <c r="A13" s="21" t="inlineStr">
        <is>
          <t>월 운영비 합계</t>
        </is>
      </c>
      <c r="B13" s="20">
        <f>SUM(B4:B12)</f>
        <v/>
      </c>
      <c r="C13" s="20">
        <f>SUM(C4:C12)</f>
        <v/>
      </c>
      <c r="D13" s="20">
        <f>SUM(D4:D12)</f>
        <v/>
      </c>
      <c r="E13" s="13" t="inlineStr"/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2026년 월별 운영비 (반복 + 일회성)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22" t="inlineStr">
        <is>
          <t>※ 출시 = 2026-07 하순~08-초. 1~5월 코드 작업. 6/2주 법인카드 수취 → 외부 서비스 일괄 신청. 6월 도메인·Workspace 셋업, 7월 Apple/Google Play 결제 + Mac mini·NICE(옵션), 8월 출시 후 MAU 0~1K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11" t="inlineStr">
        <is>
          <t>항목</t>
        </is>
      </c>
      <c r="B4" s="11" t="inlineStr">
        <is>
          <t>1월</t>
        </is>
      </c>
      <c r="C4" s="11" t="inlineStr">
        <is>
          <t>2월</t>
        </is>
      </c>
      <c r="D4" s="11" t="inlineStr">
        <is>
          <t>3월</t>
        </is>
      </c>
      <c r="E4" s="11" t="inlineStr">
        <is>
          <t>4월</t>
        </is>
      </c>
      <c r="F4" s="11" t="inlineStr">
        <is>
          <t>5월</t>
        </is>
      </c>
      <c r="G4" s="11" t="inlineStr">
        <is>
          <t>6월</t>
        </is>
      </c>
      <c r="H4" s="11" t="inlineStr">
        <is>
          <t>7월</t>
        </is>
      </c>
      <c r="I4" s="11" t="inlineStr">
        <is>
          <t>8월</t>
        </is>
      </c>
      <c r="J4" s="11" t="inlineStr">
        <is>
          <t>9월</t>
        </is>
      </c>
      <c r="K4" s="11" t="inlineStr">
        <is>
          <t>10월</t>
        </is>
      </c>
      <c r="L4" s="11" t="inlineStr">
        <is>
          <t>11월</t>
        </is>
      </c>
      <c r="M4" s="11" t="inlineStr">
        <is>
          <t>12월</t>
        </is>
      </c>
      <c r="N4" s="11" t="inlineStr">
        <is>
          <t>연 합계</t>
        </is>
      </c>
    </row>
    <row r="5">
      <c r="A5" s="23" t="inlineStr">
        <is>
          <t>【 반복 비용 (월 정액·사용량) 】</t>
        </is>
      </c>
      <c r="B5" s="13" t="inlineStr"/>
      <c r="C5" s="13" t="inlineStr"/>
      <c r="D5" s="13" t="inlineStr"/>
      <c r="E5" s="13" t="inlineStr"/>
      <c r="F5" s="13" t="inlineStr"/>
      <c r="G5" s="13" t="inlineStr"/>
      <c r="H5" s="13" t="inlineStr"/>
      <c r="I5" s="13" t="inlineStr"/>
      <c r="J5" s="13" t="inlineStr"/>
      <c r="K5" s="13" t="inlineStr"/>
      <c r="L5" s="13" t="inlineStr"/>
      <c r="M5" s="13" t="inlineStr"/>
      <c r="N5" s="13" t="inlineStr"/>
    </row>
    <row r="6">
      <c r="A6" s="13" t="inlineStr">
        <is>
          <t>서버 + DB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30000</v>
      </c>
      <c r="I6" s="14" t="n">
        <v>80000</v>
      </c>
      <c r="J6" s="14" t="n">
        <v>80000</v>
      </c>
      <c r="K6" s="14" t="n">
        <v>80000</v>
      </c>
      <c r="L6" s="14" t="n">
        <v>80000</v>
      </c>
      <c r="M6" s="14" t="n">
        <v>80000</v>
      </c>
      <c r="N6" s="24">
        <f>SUM(B6:M6)</f>
        <v/>
      </c>
    </row>
    <row r="7">
      <c r="A7" s="13" t="inlineStr">
        <is>
          <t>도메인 (월할)</t>
        </is>
      </c>
      <c r="B7" s="14" t="n">
        <v>0</v>
      </c>
      <c r="C7" s="14" t="n">
        <v>0</v>
      </c>
      <c r="D7" s="14" t="n">
        <v>0</v>
      </c>
      <c r="E7" s="14" t="n">
        <v>0</v>
      </c>
      <c r="F7" s="14" t="n">
        <v>0</v>
      </c>
      <c r="G7" s="14" t="n">
        <v>5000</v>
      </c>
      <c r="H7" s="14" t="n">
        <v>5000</v>
      </c>
      <c r="I7" s="14" t="n">
        <v>5000</v>
      </c>
      <c r="J7" s="14" t="n">
        <v>5000</v>
      </c>
      <c r="K7" s="14" t="n">
        <v>5000</v>
      </c>
      <c r="L7" s="14" t="n">
        <v>5000</v>
      </c>
      <c r="M7" s="14" t="n">
        <v>5000</v>
      </c>
      <c r="N7" s="24">
        <f>SUM(B7:M7)</f>
        <v/>
      </c>
    </row>
    <row r="8">
      <c r="A8" s="13" t="inlineStr">
        <is>
          <t>알림톡 (사용량)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5000</v>
      </c>
      <c r="J8" s="14" t="n">
        <v>6000</v>
      </c>
      <c r="K8" s="14" t="n">
        <v>8000</v>
      </c>
      <c r="L8" s="14" t="n">
        <v>9000</v>
      </c>
      <c r="M8" s="14" t="n">
        <v>9000</v>
      </c>
      <c r="N8" s="24">
        <f>SUM(B8:M8)</f>
        <v/>
      </c>
    </row>
    <row r="9">
      <c r="A9" s="13" t="inlineStr">
        <is>
          <t>SMS + 본인인증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2000</v>
      </c>
      <c r="J9" s="14" t="n">
        <v>3000</v>
      </c>
      <c r="K9" s="14" t="n">
        <v>4000</v>
      </c>
      <c r="L9" s="14" t="n">
        <v>5000</v>
      </c>
      <c r="M9" s="14" t="n">
        <v>5000</v>
      </c>
      <c r="N9" s="24">
        <f>SUM(B9:M9)</f>
        <v/>
      </c>
    </row>
    <row r="10">
      <c r="A10" s="13" t="inlineStr">
        <is>
          <t>이메일 (SendGrid)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24">
        <f>SUM(B10:M10)</f>
        <v/>
      </c>
    </row>
    <row r="11">
      <c r="A11" s="13" t="inlineStr">
        <is>
          <t>Google Workspace (2계정)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18200</v>
      </c>
      <c r="H11" s="14" t="n">
        <v>18200</v>
      </c>
      <c r="I11" s="14" t="n">
        <v>18200</v>
      </c>
      <c r="J11" s="14" t="n">
        <v>18200</v>
      </c>
      <c r="K11" s="14" t="n">
        <v>18200</v>
      </c>
      <c r="L11" s="14" t="n">
        <v>18200</v>
      </c>
      <c r="M11" s="14" t="n">
        <v>18200</v>
      </c>
      <c r="N11" s="24">
        <f>SUM(B11:M11)</f>
        <v/>
      </c>
    </row>
    <row r="12">
      <c r="A12" s="13" t="inlineStr">
        <is>
          <t>모니터링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24">
        <f>SUM(B12:M12)</f>
        <v/>
      </c>
    </row>
    <row r="13">
      <c r="A13" s="13" t="inlineStr">
        <is>
          <t>Firebase / 로그인</t>
        </is>
      </c>
      <c r="B13" s="14" t="n">
        <v>0</v>
      </c>
      <c r="C13" s="14" t="n">
        <v>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0</v>
      </c>
      <c r="I13" s="14" t="n">
        <v>0</v>
      </c>
      <c r="J13" s="14" t="n">
        <v>0</v>
      </c>
      <c r="K13" s="14" t="n">
        <v>0</v>
      </c>
      <c r="L13" s="14" t="n">
        <v>0</v>
      </c>
      <c r="M13" s="14" t="n">
        <v>0</v>
      </c>
      <c r="N13" s="24">
        <f>SUM(B13:M13)</f>
        <v/>
      </c>
    </row>
    <row r="14">
      <c r="A14" s="13" t="inlineStr">
        <is>
          <t>Google Maps (초과분)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24">
        <f>SUM(B14:M14)</f>
        <v/>
      </c>
    </row>
    <row r="15">
      <c r="A15" s="13" t="inlineStr">
        <is>
          <t>번역 API (P8b)</t>
        </is>
      </c>
      <c r="B15" s="14" t="n">
        <v>0</v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24">
        <f>SUM(B15:M15)</f>
        <v/>
      </c>
    </row>
    <row r="16">
      <c r="A16" s="23" t="inlineStr">
        <is>
          <t>【 초기 세팅비 / 1회성 】</t>
        </is>
      </c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  <c r="L16" s="13" t="inlineStr"/>
      <c r="M16" s="13" t="inlineStr"/>
      <c r="N16" s="13" t="inlineStr"/>
    </row>
    <row r="17">
      <c r="A17" s="13" t="inlineStr">
        <is>
          <t>도메인 첫 등록 (pathwave + triggersoft)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60000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24">
        <f>SUM(B17:M17)</f>
        <v/>
      </c>
    </row>
    <row r="18">
      <c r="A18" s="13" t="inlineStr">
        <is>
          <t>Apple Developer ($99/년)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128700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24">
        <f>SUM(B18:M18)</f>
        <v/>
      </c>
    </row>
    <row r="19">
      <c r="A19" s="13" t="inlineStr">
        <is>
          <t>Google Play Console ($25)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32500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24">
        <f>SUM(B19:M19)</f>
        <v/>
      </c>
    </row>
    <row r="20">
      <c r="A20" s="13" t="inlineStr">
        <is>
          <t>Mac mini 중고 (선택, 자본 여유 시)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800000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24">
        <f>SUM(B20:M20)</f>
        <v/>
      </c>
    </row>
    <row r="21">
      <c r="A21" s="13" t="inlineStr">
        <is>
          <t>NICE 본인인증 보증금 (선택)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100000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24">
        <f>SUM(B21:M21)</f>
        <v/>
      </c>
    </row>
    <row r="22">
      <c r="A22" s="21" t="inlineStr">
        <is>
          <t>월 합계</t>
        </is>
      </c>
      <c r="B22" s="20">
        <f>SUM(B6:B15)+SUM(B17:B21)</f>
        <v/>
      </c>
      <c r="C22" s="20">
        <f>SUM(C6:C15)+SUM(C17:C21)</f>
        <v/>
      </c>
      <c r="D22" s="20">
        <f>SUM(D6:D15)+SUM(D17:D21)</f>
        <v/>
      </c>
      <c r="E22" s="20">
        <f>SUM(E6:E15)+SUM(E17:E21)</f>
        <v/>
      </c>
      <c r="F22" s="20">
        <f>SUM(F6:F15)+SUM(F17:F21)</f>
        <v/>
      </c>
      <c r="G22" s="20">
        <f>SUM(G6:G15)+SUM(G17:G21)</f>
        <v/>
      </c>
      <c r="H22" s="20">
        <f>SUM(H6:H15)+SUM(H17:H21)</f>
        <v/>
      </c>
      <c r="I22" s="20">
        <f>SUM(I6:I15)+SUM(I17:I21)</f>
        <v/>
      </c>
      <c r="J22" s="20">
        <f>SUM(J6:J15)+SUM(J17:J21)</f>
        <v/>
      </c>
      <c r="K22" s="20">
        <f>SUM(K6:K15)+SUM(K17:K21)</f>
        <v/>
      </c>
      <c r="L22" s="20">
        <f>SUM(L6:L15)+SUM(L17:L21)</f>
        <v/>
      </c>
      <c r="M22" s="20">
        <f>SUM(M6:M15)+SUM(M17:M21)</f>
        <v/>
      </c>
      <c r="N22" s="20">
        <f>SUM(B22:M22)</f>
        <v/>
      </c>
    </row>
    <row r="23">
      <c r="A23" s="25" t="inlineStr">
        <is>
          <t>누계</t>
        </is>
      </c>
      <c r="B23" s="26">
        <f>B22</f>
        <v/>
      </c>
      <c r="C23" s="26">
        <f>B23+C22</f>
        <v/>
      </c>
      <c r="D23" s="26">
        <f>C23+D22</f>
        <v/>
      </c>
      <c r="E23" s="26">
        <f>D23+E22</f>
        <v/>
      </c>
      <c r="F23" s="26">
        <f>E23+F22</f>
        <v/>
      </c>
      <c r="G23" s="26">
        <f>F23+G22</f>
        <v/>
      </c>
      <c r="H23" s="26">
        <f>G23+H22</f>
        <v/>
      </c>
      <c r="I23" s="26">
        <f>H23+I22</f>
        <v/>
      </c>
      <c r="J23" s="26">
        <f>I23+J22</f>
        <v/>
      </c>
      <c r="K23" s="26">
        <f>J23+K22</f>
        <v/>
      </c>
      <c r="L23" s="26">
        <f>K23+L22</f>
        <v/>
      </c>
      <c r="M23" s="26">
        <f>L23+M22</f>
        <v/>
      </c>
      <c r="N23" s="26">
        <f>N22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2027년 월별 운영비 (반복 + 일회성)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22" t="inlineStr">
        <is>
          <t>※ 점진 성장 가정 — Q1: 매장 20~30(MAU 1~2K), Q2: 매장 50(MAU 3~5K), Q3: 매장 100(MAU 5~10K), Q4: 매장 200(MAU 10K+). 알림톡 = 매장당 100건/월 × 9원 (현실적 가정)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11" t="inlineStr">
        <is>
          <t>항목</t>
        </is>
      </c>
      <c r="B4" s="11" t="inlineStr">
        <is>
          <t>1월</t>
        </is>
      </c>
      <c r="C4" s="11" t="inlineStr">
        <is>
          <t>2월</t>
        </is>
      </c>
      <c r="D4" s="11" t="inlineStr">
        <is>
          <t>3월</t>
        </is>
      </c>
      <c r="E4" s="11" t="inlineStr">
        <is>
          <t>4월</t>
        </is>
      </c>
      <c r="F4" s="11" t="inlineStr">
        <is>
          <t>5월</t>
        </is>
      </c>
      <c r="G4" s="11" t="inlineStr">
        <is>
          <t>6월</t>
        </is>
      </c>
      <c r="H4" s="11" t="inlineStr">
        <is>
          <t>7월</t>
        </is>
      </c>
      <c r="I4" s="11" t="inlineStr">
        <is>
          <t>8월</t>
        </is>
      </c>
      <c r="J4" s="11" t="inlineStr">
        <is>
          <t>9월</t>
        </is>
      </c>
      <c r="K4" s="11" t="inlineStr">
        <is>
          <t>10월</t>
        </is>
      </c>
      <c r="L4" s="11" t="inlineStr">
        <is>
          <t>11월</t>
        </is>
      </c>
      <c r="M4" s="11" t="inlineStr">
        <is>
          <t>12월</t>
        </is>
      </c>
      <c r="N4" s="11" t="inlineStr">
        <is>
          <t>연 합계</t>
        </is>
      </c>
    </row>
    <row r="5">
      <c r="A5" s="23" t="inlineStr">
        <is>
          <t>【 반복 비용 (월 정액·사용량) 】</t>
        </is>
      </c>
      <c r="B5" s="13" t="inlineStr"/>
      <c r="C5" s="13" t="inlineStr"/>
      <c r="D5" s="13" t="inlineStr"/>
      <c r="E5" s="13" t="inlineStr"/>
      <c r="F5" s="13" t="inlineStr"/>
      <c r="G5" s="13" t="inlineStr"/>
      <c r="H5" s="13" t="inlineStr"/>
      <c r="I5" s="13" t="inlineStr"/>
      <c r="J5" s="13" t="inlineStr"/>
      <c r="K5" s="13" t="inlineStr"/>
      <c r="L5" s="13" t="inlineStr"/>
      <c r="M5" s="13" t="inlineStr"/>
      <c r="N5" s="13" t="inlineStr"/>
    </row>
    <row r="6">
      <c r="A6" s="13" t="inlineStr">
        <is>
          <t>서버 + DB</t>
        </is>
      </c>
      <c r="B6" s="14" t="n">
        <v>80000</v>
      </c>
      <c r="C6" s="14" t="n">
        <v>80000</v>
      </c>
      <c r="D6" s="14" t="n">
        <v>80000</v>
      </c>
      <c r="E6" s="14" t="n">
        <v>100000</v>
      </c>
      <c r="F6" s="14" t="n">
        <v>100000</v>
      </c>
      <c r="G6" s="14" t="n">
        <v>100000</v>
      </c>
      <c r="H6" s="14" t="n">
        <v>150000</v>
      </c>
      <c r="I6" s="14" t="n">
        <v>150000</v>
      </c>
      <c r="J6" s="14" t="n">
        <v>150000</v>
      </c>
      <c r="K6" s="14" t="n">
        <v>200000</v>
      </c>
      <c r="L6" s="14" t="n">
        <v>200000</v>
      </c>
      <c r="M6" s="14" t="n">
        <v>200000</v>
      </c>
      <c r="N6" s="24">
        <f>SUM(B6:M6)</f>
        <v/>
      </c>
    </row>
    <row r="7">
      <c r="A7" s="13" t="inlineStr">
        <is>
          <t>도메인 (월할)</t>
        </is>
      </c>
      <c r="B7" s="14" t="n">
        <v>5000</v>
      </c>
      <c r="C7" s="14" t="n">
        <v>5000</v>
      </c>
      <c r="D7" s="14" t="n">
        <v>5000</v>
      </c>
      <c r="E7" s="14" t="n">
        <v>5000</v>
      </c>
      <c r="F7" s="14" t="n">
        <v>5000</v>
      </c>
      <c r="G7" s="14" t="n">
        <v>5000</v>
      </c>
      <c r="H7" s="14" t="n">
        <v>5000</v>
      </c>
      <c r="I7" s="14" t="n">
        <v>5000</v>
      </c>
      <c r="J7" s="14" t="n">
        <v>5000</v>
      </c>
      <c r="K7" s="14" t="n">
        <v>5000</v>
      </c>
      <c r="L7" s="14" t="n">
        <v>5000</v>
      </c>
      <c r="M7" s="14" t="n">
        <v>5000</v>
      </c>
      <c r="N7" s="24">
        <f>SUM(B7:M7)</f>
        <v/>
      </c>
    </row>
    <row r="8">
      <c r="A8" s="13" t="inlineStr">
        <is>
          <t>알림톡 (사용량)</t>
        </is>
      </c>
      <c r="B8" s="14" t="n">
        <v>18000</v>
      </c>
      <c r="C8" s="14" t="n">
        <v>22500</v>
      </c>
      <c r="D8" s="14" t="n">
        <v>27000</v>
      </c>
      <c r="E8" s="14" t="n">
        <v>36000</v>
      </c>
      <c r="F8" s="14" t="n">
        <v>40500</v>
      </c>
      <c r="G8" s="14" t="n">
        <v>45000</v>
      </c>
      <c r="H8" s="14" t="n">
        <v>63000</v>
      </c>
      <c r="I8" s="14" t="n">
        <v>72000</v>
      </c>
      <c r="J8" s="14" t="n">
        <v>90000</v>
      </c>
      <c r="K8" s="14" t="n">
        <v>135000</v>
      </c>
      <c r="L8" s="14" t="n">
        <v>153000</v>
      </c>
      <c r="M8" s="14" t="n">
        <v>180000</v>
      </c>
      <c r="N8" s="24">
        <f>SUM(B8:M8)</f>
        <v/>
      </c>
    </row>
    <row r="9">
      <c r="A9" s="13" t="inlineStr">
        <is>
          <t>SMS + 본인인증</t>
        </is>
      </c>
      <c r="B9" s="14" t="n">
        <v>5000</v>
      </c>
      <c r="C9" s="14" t="n">
        <v>6000</v>
      </c>
      <c r="D9" s="14" t="n">
        <v>7000</v>
      </c>
      <c r="E9" s="14" t="n">
        <v>10000</v>
      </c>
      <c r="F9" s="14" t="n">
        <v>12000</v>
      </c>
      <c r="G9" s="14" t="n">
        <v>15000</v>
      </c>
      <c r="H9" s="14" t="n">
        <v>18000</v>
      </c>
      <c r="I9" s="14" t="n">
        <v>22000</v>
      </c>
      <c r="J9" s="14" t="n">
        <v>28000</v>
      </c>
      <c r="K9" s="14" t="n">
        <v>35000</v>
      </c>
      <c r="L9" s="14" t="n">
        <v>40000</v>
      </c>
      <c r="M9" s="14" t="n">
        <v>45000</v>
      </c>
      <c r="N9" s="24">
        <f>SUM(B9:M9)</f>
        <v/>
      </c>
    </row>
    <row r="10">
      <c r="A10" s="13" t="inlineStr">
        <is>
          <t>이메일 (SendGrid)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3000</v>
      </c>
      <c r="H10" s="14" t="n">
        <v>3000</v>
      </c>
      <c r="I10" s="14" t="n">
        <v>5000</v>
      </c>
      <c r="J10" s="14" t="n">
        <v>5000</v>
      </c>
      <c r="K10" s="14" t="n">
        <v>8000</v>
      </c>
      <c r="L10" s="14" t="n">
        <v>10000</v>
      </c>
      <c r="M10" s="14" t="n">
        <v>12000</v>
      </c>
      <c r="N10" s="24">
        <f>SUM(B10:M10)</f>
        <v/>
      </c>
    </row>
    <row r="11">
      <c r="A11" s="13" t="inlineStr">
        <is>
          <t>Google Workspace (2계정)</t>
        </is>
      </c>
      <c r="B11" s="14" t="n">
        <v>18200</v>
      </c>
      <c r="C11" s="14" t="n">
        <v>18200</v>
      </c>
      <c r="D11" s="14" t="n">
        <v>18200</v>
      </c>
      <c r="E11" s="14" t="n">
        <v>18200</v>
      </c>
      <c r="F11" s="14" t="n">
        <v>18200</v>
      </c>
      <c r="G11" s="14" t="n">
        <v>18200</v>
      </c>
      <c r="H11" s="14" t="n">
        <v>18200</v>
      </c>
      <c r="I11" s="14" t="n">
        <v>18200</v>
      </c>
      <c r="J11" s="14" t="n">
        <v>18200</v>
      </c>
      <c r="K11" s="14" t="n">
        <v>18200</v>
      </c>
      <c r="L11" s="14" t="n">
        <v>18200</v>
      </c>
      <c r="M11" s="14" t="n">
        <v>18200</v>
      </c>
      <c r="N11" s="24">
        <f>SUM(B11:M11)</f>
        <v/>
      </c>
    </row>
    <row r="12">
      <c r="A12" s="13" t="inlineStr">
        <is>
          <t>모니터링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30000</v>
      </c>
      <c r="K12" s="14" t="n">
        <v>30000</v>
      </c>
      <c r="L12" s="14" t="n">
        <v>30000</v>
      </c>
      <c r="M12" s="14" t="n">
        <v>30000</v>
      </c>
      <c r="N12" s="24">
        <f>SUM(B12:M12)</f>
        <v/>
      </c>
    </row>
    <row r="13">
      <c r="A13" s="13" t="inlineStr">
        <is>
          <t>Firebase / 로그인</t>
        </is>
      </c>
      <c r="B13" s="14" t="n">
        <v>0</v>
      </c>
      <c r="C13" s="14" t="n">
        <v>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0</v>
      </c>
      <c r="I13" s="14" t="n">
        <v>0</v>
      </c>
      <c r="J13" s="14" t="n">
        <v>0</v>
      </c>
      <c r="K13" s="14" t="n">
        <v>10000</v>
      </c>
      <c r="L13" s="14" t="n">
        <v>15000</v>
      </c>
      <c r="M13" s="14" t="n">
        <v>20000</v>
      </c>
      <c r="N13" s="24">
        <f>SUM(B13:M13)</f>
        <v/>
      </c>
    </row>
    <row r="14">
      <c r="A14" s="13" t="inlineStr">
        <is>
          <t>Google Maps (초과분)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10000</v>
      </c>
      <c r="L14" s="14" t="n">
        <v>20000</v>
      </c>
      <c r="M14" s="14" t="n">
        <v>30000</v>
      </c>
      <c r="N14" s="24">
        <f>SUM(B14:M14)</f>
        <v/>
      </c>
    </row>
    <row r="15">
      <c r="A15" s="13" t="inlineStr">
        <is>
          <t>번역 API (P8b)</t>
        </is>
      </c>
      <c r="B15" s="14" t="n">
        <v>0</v>
      </c>
      <c r="C15" s="14" t="n">
        <v>0</v>
      </c>
      <c r="D15" s="14" t="n">
        <v>0</v>
      </c>
      <c r="E15" s="14" t="n">
        <v>10000</v>
      </c>
      <c r="F15" s="14" t="n">
        <v>15000</v>
      </c>
      <c r="G15" s="14" t="n">
        <v>20000</v>
      </c>
      <c r="H15" s="14" t="n">
        <v>25000</v>
      </c>
      <c r="I15" s="14" t="n">
        <v>30000</v>
      </c>
      <c r="J15" s="14" t="n">
        <v>40000</v>
      </c>
      <c r="K15" s="14" t="n">
        <v>50000</v>
      </c>
      <c r="L15" s="14" t="n">
        <v>60000</v>
      </c>
      <c r="M15" s="14" t="n">
        <v>80000</v>
      </c>
      <c r="N15" s="24">
        <f>SUM(B15:M15)</f>
        <v/>
      </c>
    </row>
    <row r="16">
      <c r="A16" s="23" t="inlineStr">
        <is>
          <t>【 초기 세팅비 / 1회성 】</t>
        </is>
      </c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  <c r="L16" s="13" t="inlineStr"/>
      <c r="M16" s="13" t="inlineStr"/>
      <c r="N16" s="13" t="inlineStr"/>
    </row>
    <row r="17">
      <c r="A17" s="13" t="inlineStr">
        <is>
          <t>Apple Developer (연 갱신)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128700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24">
        <f>SUM(B17:M17)</f>
        <v/>
      </c>
    </row>
    <row r="18">
      <c r="A18" s="13" t="inlineStr">
        <is>
          <t>Google Play Console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24">
        <f>SUM(B18:M18)</f>
        <v/>
      </c>
    </row>
    <row r="19">
      <c r="A19" s="13" t="inlineStr">
        <is>
          <t>Mac mini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24">
        <f>SUM(B19:M19)</f>
        <v/>
      </c>
    </row>
    <row r="20">
      <c r="A20" s="13" t="inlineStr">
        <is>
          <t>NICE 본인인증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24">
        <f>SUM(B20:M20)</f>
        <v/>
      </c>
    </row>
    <row r="21">
      <c r="A21" s="13" t="inlineStr">
        <is>
          <t>도메인 (연 갱신)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60000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24">
        <f>SUM(B21:M21)</f>
        <v/>
      </c>
    </row>
    <row r="22">
      <c r="A22" s="21" t="inlineStr">
        <is>
          <t>월 합계</t>
        </is>
      </c>
      <c r="B22" s="20">
        <f>SUM(B6:B15)+SUM(B17:B21)</f>
        <v/>
      </c>
      <c r="C22" s="20">
        <f>SUM(C6:C15)+SUM(C17:C21)</f>
        <v/>
      </c>
      <c r="D22" s="20">
        <f>SUM(D6:D15)+SUM(D17:D21)</f>
        <v/>
      </c>
      <c r="E22" s="20">
        <f>SUM(E6:E15)+SUM(E17:E21)</f>
        <v/>
      </c>
      <c r="F22" s="20">
        <f>SUM(F6:F15)+SUM(F17:F21)</f>
        <v/>
      </c>
      <c r="G22" s="20">
        <f>SUM(G6:G15)+SUM(G17:G21)</f>
        <v/>
      </c>
      <c r="H22" s="20">
        <f>SUM(H6:H15)+SUM(H17:H21)</f>
        <v/>
      </c>
      <c r="I22" s="20">
        <f>SUM(I6:I15)+SUM(I17:I21)</f>
        <v/>
      </c>
      <c r="J22" s="20">
        <f>SUM(J6:J15)+SUM(J17:J21)</f>
        <v/>
      </c>
      <c r="K22" s="20">
        <f>SUM(K6:K15)+SUM(K17:K21)</f>
        <v/>
      </c>
      <c r="L22" s="20">
        <f>SUM(L6:L15)+SUM(L17:L21)</f>
        <v/>
      </c>
      <c r="M22" s="20">
        <f>SUM(M6:M15)+SUM(M17:M21)</f>
        <v/>
      </c>
      <c r="N22" s="20">
        <f>SUM(B22:M22)</f>
        <v/>
      </c>
    </row>
    <row r="23">
      <c r="A23" s="25" t="inlineStr">
        <is>
          <t>누계</t>
        </is>
      </c>
      <c r="B23" s="26">
        <f>B22</f>
        <v/>
      </c>
      <c r="C23" s="26">
        <f>B23+C22</f>
        <v/>
      </c>
      <c r="D23" s="26">
        <f>C23+D22</f>
        <v/>
      </c>
      <c r="E23" s="26">
        <f>D23+E22</f>
        <v/>
      </c>
      <c r="F23" s="26">
        <f>E23+F22</f>
        <v/>
      </c>
      <c r="G23" s="26">
        <f>F23+G22</f>
        <v/>
      </c>
      <c r="H23" s="26">
        <f>G23+H22</f>
        <v/>
      </c>
      <c r="I23" s="26">
        <f>H23+I22</f>
        <v/>
      </c>
      <c r="J23" s="26">
        <f>I23+J22</f>
        <v/>
      </c>
      <c r="K23" s="26">
        <f>J23+K22</f>
        <v/>
      </c>
      <c r="L23" s="26">
        <f>K23+L22</f>
        <v/>
      </c>
      <c r="M23" s="26">
        <f>L23+M22</f>
        <v/>
      </c>
      <c r="N23" s="26">
        <f>N22</f>
        <v/>
      </c>
    </row>
  </sheetData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2026-05-23T03:15:38Z</dcterms:created>
  <dcterms:modified xmlns:dcterms="http://purl.org/dc/terms/" xmlns:xsi="http://www.w3.org/2001/XMLSchema-instance" xsi:type="dcterms:W3CDTF">2026-05-23T03:15:38Z</dcterms:modified>
</cp:coreProperties>
</file>