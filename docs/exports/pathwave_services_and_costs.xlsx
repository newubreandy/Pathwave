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초기 세팅비 (1회성)" sheetId="3" state="visible" r:id="rId3"/>
    <sheet xmlns:r="http://schemas.openxmlformats.org/officeDocument/2006/relationships" name="월별 운영비 시나리오" sheetId="4" state="visible" r:id="rId4"/>
    <sheet xmlns:r="http://schemas.openxmlformats.org/officeDocument/2006/relationships" name="손익분기점 (BEP)" sheetId="5" state="visible" r:id="rId5"/>
    <sheet xmlns:r="http://schemas.openxmlformats.org/officeDocument/2006/relationships" name="2026년 월별" sheetId="6" state="visible" r:id="rId6"/>
    <sheet xmlns:r="http://schemas.openxmlformats.org/officeDocument/2006/relationships" name="2027년 월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₩#,##0;(₩#,##0);-"/>
  </numFmts>
  <fonts count="13">
    <font>
      <name val="Calibri"/>
      <family val="2"/>
      <color theme="1"/>
      <sz val="11"/>
      <scheme val="minor"/>
    </font>
    <font>
      <name val="맑은 고딕"/>
      <color rgb="000563C1"/>
      <u val="single"/>
    </font>
    <font>
      <name val="맑은 고딕"/>
      <color rgb="000000FF"/>
    </font>
    <font>
      <name val="맑은 고딕"/>
      <b val="1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  <color rgb="00008000"/>
    </font>
    <font>
      <name val="맑은 고딕"/>
      <b val="1"/>
      <color rgb="001F4E78"/>
    </font>
    <font>
      <name val="맑은 고딕"/>
      <b val="1"/>
      <color rgb="00C00000"/>
    </font>
    <font>
      <name val="맑은 고딕"/>
      <color rgb="00505050"/>
    </font>
    <font>
      <name val="맑은 고딕"/>
      <i val="1"/>
      <color rgb="00808080"/>
    </font>
    <font>
      <name val="맑은 고딕"/>
      <i val="1"/>
    </font>
    <font>
      <name val="맑은 고딕"/>
      <color theme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4" fillId="5" borderId="1" applyAlignment="1" pivotButton="0" quotePrefix="0" xfId="0">
      <alignment horizontal="center"/>
    </xf>
    <xf numFmtId="0" fontId="12" fillId="0" borderId="1" pivotButton="0" quotePrefix="0" xfId="0"/>
    <xf numFmtId="164" fontId="6" fillId="0" borderId="1" pivotButton="0" quotePrefix="0" xfId="0"/>
    <xf numFmtId="164" fontId="12" fillId="0" borderId="1" pivotButton="0" quotePrefix="0" xfId="0"/>
    <xf numFmtId="0" fontId="3" fillId="0" borderId="1" pivotButton="0" quotePrefix="0" xfId="0"/>
    <xf numFmtId="164" fontId="3" fillId="6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0" borderId="1" pivotButton="0" quotePrefix="0" xfId="0"/>
    <xf numFmtId="3" fontId="3" fillId="6" borderId="1" pivotButton="0" quotePrefix="0" xfId="0"/>
    <xf numFmtId="0" fontId="8" fillId="0" borderId="0" pivotButton="0" quotePrefix="0" xfId="0"/>
    <xf numFmtId="0" fontId="10" fillId="0" borderId="0" pivotButton="0" quotePrefix="0" xfId="0"/>
    <xf numFmtId="164" fontId="3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erchant.tosspayments.com/" TargetMode="External" Id="rId1"/><Relationship Type="http://schemas.openxmlformats.org/officeDocument/2006/relationships/hyperlink" Target="https://developer.apple.com/programs/enroll/" TargetMode="External" Id="rId2"/><Relationship Type="http://schemas.openxmlformats.org/officeDocument/2006/relationships/hyperlink" Target="https://play.google.com/console/u/0/signup" TargetMode="External" Id="rId3"/><Relationship Type="http://schemas.openxmlformats.org/officeDocument/2006/relationships/hyperlink" Target="https://www.gabia.com/" TargetMode="External" Id="rId4"/><Relationship Type="http://schemas.openxmlformats.org/officeDocument/2006/relationships/hyperlink" Target="https://www.gabia.com/" TargetMode="External" Id="rId5"/><Relationship Type="http://schemas.openxmlformats.org/officeDocument/2006/relationships/hyperlink" Target="https://dash.cloudflare.com/sign-up" TargetMode="External" Id="rId6"/><Relationship Type="http://schemas.openxmlformats.org/officeDocument/2006/relationships/hyperlink" Target="https://cloud.gabia.com/" TargetMode="External" Id="rId7"/><Relationship Type="http://schemas.openxmlformats.org/officeDocument/2006/relationships/hyperlink" Target="https://www.toast.com/kr" TargetMode="External" Id="rId8"/><Relationship Type="http://schemas.openxmlformats.org/officeDocument/2006/relationships/hyperlink" Target="https://www.ncloud.com/" TargetMode="External" Id="rId9"/><Relationship Type="http://schemas.openxmlformats.org/officeDocument/2006/relationships/hyperlink" Target="https://vercel.com/signup" TargetMode="External" Id="rId10"/><Relationship Type="http://schemas.openxmlformats.org/officeDocument/2006/relationships/hyperlink" Target="https://console.firebase.google.com/" TargetMode="External" Id="rId11"/><Relationship Type="http://schemas.openxmlformats.org/officeDocument/2006/relationships/hyperlink" Target="https://developer.apple.com/account/resources/" TargetMode="External" Id="rId12"/><Relationship Type="http://schemas.openxmlformats.org/officeDocument/2006/relationships/hyperlink" Target="https://console.firebase.google.com/" TargetMode="External" Id="rId13"/><Relationship Type="http://schemas.openxmlformats.org/officeDocument/2006/relationships/hyperlink" Target="https://workspace.google.com/" TargetMode="External" Id="rId14"/><Relationship Type="http://schemas.openxmlformats.org/officeDocument/2006/relationships/hyperlink" Target="https://workspace.google.com/" TargetMode="External" Id="rId15"/><Relationship Type="http://schemas.openxmlformats.org/officeDocument/2006/relationships/hyperlink" Target="https://www.patent.go.kr/" TargetMode="External" Id="rId16"/><Relationship Type="http://schemas.openxmlformats.org/officeDocument/2006/relationships/hyperlink" Target="https://www.patent.go.kr/" TargetMode="External" Id="rId17"/><Relationship Type="http://schemas.openxmlformats.org/officeDocument/2006/relationships/hyperlink" Target="https://developers.kakao.com/" TargetMode="External" Id="rId18"/><Relationship Type="http://schemas.openxmlformats.org/officeDocument/2006/relationships/hyperlink" Target="https://developers.naver.com/" TargetMode="External" Id="rId19"/><Relationship Type="http://schemas.openxmlformats.org/officeDocument/2006/relationships/hyperlink" Target="https://solapi.com/" TargetMode="External" Id="rId20"/><Relationship Type="http://schemas.openxmlformats.org/officeDocument/2006/relationships/hyperlink" Target="https://solapi.com/" TargetMode="External" Id="rId21"/><Relationship Type="http://schemas.openxmlformats.org/officeDocument/2006/relationships/hyperlink" Target="https://signup.sendgrid.com/" TargetMode="External" Id="rId22"/><Relationship Type="http://schemas.openxmlformats.org/officeDocument/2006/relationships/hyperlink" Target="https://sentry.io/signup/" TargetMode="External" Id="rId23"/><Relationship Type="http://schemas.openxmlformats.org/officeDocument/2006/relationships/hyperlink" Target="https://console.cloud.google.com/" TargetMode="External" Id="rId24"/><Relationship Type="http://schemas.openxmlformats.org/officeDocument/2006/relationships/hyperlink" Target="https://www.niceinfo.co.kr/" TargetMode="External" Id="rId25"/><Relationship Type="http://schemas.openxmlformats.org/officeDocument/2006/relationships/hyperlink" Target="https://www.deepl.com/pro" TargetMode="External" Id="rId26"/><Relationship Type="http://schemas.openxmlformats.org/officeDocument/2006/relationships/hyperlink" Target="https://console.cloud.google.com/" TargetMode="External" Id="rId27"/><Relationship Type="http://schemas.openxmlformats.org/officeDocument/2006/relationships/hyperlink" Target="https://channel.io/ko" TargetMode="External" Id="rId28"/><Relationship Type="http://schemas.openxmlformats.org/officeDocument/2006/relationships/hyperlink" Target="https://platform.openai.com/signup" TargetMode="External" Id="rId29"/><Relationship Type="http://schemas.openxmlformats.org/officeDocument/2006/relationships/hyperlink" Target="https://www.make.com/en/register" TargetMode="External" Id="rId30"/><Relationship Type="http://schemas.openxmlformats.org/officeDocument/2006/relationships/hyperlink" Target="https://buffer.com/pricing" TargetMode="External" Id="rId31"/><Relationship Type="http://schemas.openxmlformats.org/officeDocument/2006/relationships/hyperlink" Target="https://www.hubspot.com/" TargetMode="External" Id="rId32"/><Relationship Type="http://schemas.openxmlformats.org/officeDocument/2006/relationships/hyperlink" Target="https://www.twilio.com/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44" customWidth="1" min="4" max="4"/>
  </cols>
  <sheetData>
    <row r="1">
      <c r="A1" s="1" t="inlineStr">
        <is>
          <t>PathWave 운영비 — 연간 합계 (반복 + 초기 1회성 별도)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항목</t>
        </is>
      </c>
      <c r="B3" s="3" t="inlineStr">
        <is>
          <t>금액 (₩)</t>
        </is>
      </c>
      <c r="C3" s="3" t="inlineStr">
        <is>
          <t>월 평균 (₩)</t>
        </is>
      </c>
      <c r="D3" s="3" t="inlineStr">
        <is>
          <t>비고</t>
        </is>
      </c>
    </row>
    <row r="4">
      <c r="A4" s="4" t="inlineStr">
        <is>
          <t>2026 반복 운영비 (8~12월 5개월)</t>
        </is>
      </c>
      <c r="B4" s="5">
        <f>'2026년 월별'!N16</f>
        <v/>
      </c>
      <c r="C4" s="6">
        <f>B4/5</f>
        <v/>
      </c>
      <c r="D4" s="4" t="inlineStr">
        <is>
          <t>월별 반복만</t>
        </is>
      </c>
    </row>
    <row r="5">
      <c r="A5" s="4" t="inlineStr">
        <is>
          <t>2027 반복 운영비 (12개월)</t>
        </is>
      </c>
      <c r="B5" s="5">
        <f>'2027년 월별'!N16</f>
        <v/>
      </c>
      <c r="C5" s="6">
        <f>B5/12</f>
        <v/>
      </c>
      <c r="D5" s="4" t="inlineStr">
        <is>
          <t>월별 반복만</t>
        </is>
      </c>
    </row>
    <row r="6">
      <c r="A6" s="4" t="inlineStr">
        <is>
          <t>초기 세팅비 — 필수만</t>
        </is>
      </c>
      <c r="B6" s="5">
        <f>'초기 세팅비 (1회성)'!B22</f>
        <v/>
      </c>
      <c r="C6" s="6" t="inlineStr">
        <is>
          <t>—</t>
        </is>
      </c>
      <c r="D6" s="4" t="inlineStr">
        <is>
          <t>2026 출시 전 한번에</t>
        </is>
      </c>
    </row>
    <row r="7">
      <c r="A7" s="4" t="inlineStr">
        <is>
          <t>초기 세팅비 — 옵션 포함</t>
        </is>
      </c>
      <c r="B7" s="5">
        <f>'초기 세팅비 (1회성)'!B23</f>
        <v/>
      </c>
      <c r="C7" s="6" t="inlineStr">
        <is>
          <t>—</t>
        </is>
      </c>
      <c r="D7" s="4" t="inlineStr">
        <is>
          <t>Mac mini + NICE 포함</t>
        </is>
      </c>
    </row>
    <row r="8">
      <c r="A8" s="4" t="inlineStr">
        <is>
          <t>2년 운영비 합계 (반복)</t>
        </is>
      </c>
      <c r="B8" s="5">
        <f>B4+B5</f>
        <v/>
      </c>
      <c r="C8" s="6" t="inlineStr">
        <is>
          <t>—</t>
        </is>
      </c>
      <c r="D8" s="4" t="inlineStr"/>
    </row>
    <row r="9">
      <c r="A9" s="7" t="inlineStr">
        <is>
          <t>2년 총합 (반복 + 필수 1회성)</t>
        </is>
      </c>
      <c r="B9" s="8">
        <f>B4+B5+B6</f>
        <v/>
      </c>
      <c r="C9" s="6" t="inlineStr">
        <is>
          <t>—</t>
        </is>
      </c>
      <c r="D9" s="4" t="inlineStr">
        <is>
          <t>전체 출시 + 2년 운영</t>
        </is>
      </c>
    </row>
    <row r="10">
      <c r="A10" s="9" t="inlineStr">
        <is>
          <t>주요 가정 / 변경점 (2026-05-23 v4)</t>
        </is>
      </c>
      <c r="B10" s="2" t="n"/>
      <c r="C10" s="2" t="n"/>
      <c r="D10" s="2" t="n"/>
    </row>
    <row r="11">
      <c r="A11" s="10" t="inlineStr">
        <is>
          <t>① 환율 USD 1 = ₩1,500 (이전 1,300 → 보수적 상향)</t>
        </is>
      </c>
      <c r="B11" s="2" t="n"/>
      <c r="C11" s="2" t="n"/>
      <c r="D11" s="2" t="n"/>
    </row>
    <row r="12">
      <c r="A12" s="10" t="inlineStr">
        <is>
          <t>② 서버 = 국내 클라우드(가비아 G클라우드 또는 NHN/네이버 클라우드) — AWS 제외</t>
        </is>
      </c>
      <c r="B12" s="2" t="n"/>
      <c r="C12" s="2" t="n"/>
      <c r="D12" s="2" t="n"/>
    </row>
    <row r="13">
      <c r="A13" s="10" t="inlineStr">
        <is>
          <t>③ 도메인·이메일 분리: 패스웨이브(pathwave.co.kr) + 트리거소프트(triggersoft.kr) 2종</t>
        </is>
      </c>
      <c r="B13" s="2" t="n"/>
      <c r="C13" s="2" t="n"/>
      <c r="D13" s="2" t="n"/>
    </row>
    <row r="14">
      <c r="A14" s="10" t="inlineStr">
        <is>
          <t>④ 푸시: iOS APNs 자체구축(PR #50 완성). Android는 사실상 FCM 외 대안 없음 — FCM 무료</t>
        </is>
      </c>
      <c r="B14" s="2" t="n"/>
      <c r="C14" s="2" t="n"/>
      <c r="D14" s="2" t="n"/>
    </row>
    <row r="15">
      <c r="A15" s="10" t="inlineStr">
        <is>
          <t>⑤ 알림톡: 매장당 100건/월 × 9원 (현실적 가정 — 매장 100 = ₩90,000)</t>
        </is>
      </c>
      <c r="B15" s="2" t="n"/>
      <c r="C15" s="2" t="n"/>
      <c r="D15" s="2" t="n"/>
    </row>
    <row r="16">
      <c r="A16" s="10" t="inlineStr">
        <is>
          <t>⑥ 1회성 비용(Apple·Play·도메인·Mac mini·NICE·상표등록)은 월별 시트에서 제외 → 초기 세팅비 시트만</t>
        </is>
      </c>
      <c r="B16" s="2" t="n"/>
      <c r="C16" s="2" t="n"/>
      <c r="D16" s="2" t="n"/>
    </row>
    <row r="17">
      <c r="A17" s="10" t="inlineStr">
        <is>
          <t>⑦ 상표등록 2건(패스웨이브 + 트리거소프트) 셀프 출원 추가 (각 ₩267,000)</t>
        </is>
      </c>
      <c r="B17" s="2" t="n"/>
      <c r="C17" s="2" t="n"/>
      <c r="D17" s="2" t="n"/>
    </row>
    <row r="18">
      <c r="A18" s="10" t="inlineStr">
        <is>
          <t>⑧ 매장당 월 ₩10,000 매출 — BEP 시트 참조. 매장 100개 미만은 적자 구조</t>
        </is>
      </c>
      <c r="B18" s="2" t="n"/>
      <c r="C18" s="2" t="n"/>
      <c r="D18" s="2" t="n"/>
    </row>
    <row r="19">
      <c r="A19" s="10" t="inlineStr">
        <is>
          <t>⑨ Phase 1.5 단계 추가 — 코드 완성 후 개발환경 서버 구축 + 통합 테스트 → 운영 반영</t>
        </is>
      </c>
      <c r="B19" s="2" t="n"/>
      <c r="C19" s="2" t="n"/>
      <c r="D19" s="2" t="n"/>
    </row>
    <row r="20">
      <c r="A20" s="10" t="inlineStr">
        <is>
          <t>⑩ 토스 수수료(2.9%+33원)는 매출 차감 — 운영비 미포함</t>
        </is>
      </c>
      <c r="B20" s="2" t="n"/>
      <c r="C20" s="2" t="n"/>
      <c r="D20" s="2" t="n"/>
    </row>
    <row r="21">
      <c r="A21" s="10" t="inlineStr">
        <is>
          <t>⑪ 자동화 도구(Stage 2~3)는 별도 — 출시 후 단계적 도입</t>
        </is>
      </c>
      <c r="B21" s="2" t="n"/>
      <c r="C21" s="2" t="n"/>
      <c r="D21" s="2" t="n"/>
    </row>
    <row r="22">
      <c r="A22" s="9" t="inlineStr">
        <is>
          <t>사용 방법</t>
        </is>
      </c>
      <c r="B22" s="2" t="n"/>
      <c r="C22" s="2" t="n"/>
      <c r="D22" s="2" t="n"/>
    </row>
    <row r="23">
      <c r="A23" s="10" t="inlineStr">
        <is>
          <t>① "서비스 신청 체크리스트": 가격 상세 + 신청 링크 + 신청 상태 드롭다운</t>
        </is>
      </c>
      <c r="B23" s="2" t="n"/>
      <c r="C23" s="2" t="n"/>
      <c r="D23" s="2" t="n"/>
    </row>
    <row r="24">
      <c r="A24" s="10" t="inlineStr">
        <is>
          <t>② "초기 세팅비": 출시 전 1회성 — 필수만 vs 옵션 포함 두 합계</t>
        </is>
      </c>
      <c r="B24" s="2" t="n"/>
      <c r="C24" s="2" t="n"/>
      <c r="D24" s="2" t="n"/>
    </row>
    <row r="25">
      <c r="A25" s="10" t="inlineStr">
        <is>
          <t>③ "월별 운영비 시나리오": MAU 별 반복 비용</t>
        </is>
      </c>
      <c r="B25" s="2" t="n"/>
      <c r="C25" s="2" t="n"/>
      <c r="D25" s="2" t="n"/>
    </row>
    <row r="26">
      <c r="A26" s="10" t="inlineStr">
        <is>
          <t>④ "2026/2027년 월별": 월별 반복 비용 cash flow (1회성 제외)</t>
        </is>
      </c>
      <c r="B26" s="2" t="n"/>
      <c r="C26" s="2" t="n"/>
      <c r="D26" s="2" t="n"/>
    </row>
    <row r="27">
      <c r="A27" s="10" t="inlineStr">
        <is>
          <t>⑤ "손익분기점 (BEP)": 매장당 1만원 매출 기준 BEP 매장 수</t>
        </is>
      </c>
      <c r="B27" s="2" t="n"/>
      <c r="C27" s="2" t="n"/>
      <c r="D27" s="2" t="n"/>
    </row>
    <row r="28">
      <c r="A28" s="10" t="inlineStr">
        <is>
          <t>⑥ "연간 합계": 반복 + 1회성 분리 합산</t>
        </is>
      </c>
      <c r="B28" s="2" t="n"/>
      <c r="C28" s="2" t="n"/>
      <c r="D28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8" customWidth="1" min="3" max="3"/>
    <col width="22" customWidth="1" min="4" max="4"/>
    <col width="9" customWidth="1" min="5" max="5"/>
    <col width="32" customWidth="1" min="6" max="6"/>
    <col width="38" customWidth="1" min="7" max="7"/>
    <col width="18" customWidth="1" min="8" max="8"/>
    <col width="10" customWidth="1" min="9" max="9"/>
    <col width="13" customWidth="1" min="10" max="10"/>
    <col width="13" customWidth="1" min="11" max="11"/>
    <col width="36" customWidth="1" min="12" max="12"/>
  </cols>
  <sheetData>
    <row r="1" ht="36" customHeight="1">
      <c r="A1" s="11" t="inlineStr">
        <is>
          <t>우선순위</t>
        </is>
      </c>
      <c r="B1" s="11" t="inlineStr">
        <is>
          <t>카테고리</t>
        </is>
      </c>
      <c r="C1" s="11" t="inlineStr">
        <is>
          <t>서비스</t>
        </is>
      </c>
      <c r="D1" s="11" t="inlineStr">
        <is>
          <t>제공사</t>
        </is>
      </c>
      <c r="E1" s="11" t="inlineStr">
        <is>
          <t>필수/선택</t>
        </is>
      </c>
      <c r="F1" s="11" t="inlineStr">
        <is>
          <t>가격 상세</t>
        </is>
      </c>
      <c r="G1" s="11" t="inlineStr">
        <is>
          <t>신청 링크</t>
        </is>
      </c>
      <c r="H1" s="11" t="inlineStr">
        <is>
          <t>가입 계정</t>
        </is>
      </c>
      <c r="I1" s="11" t="inlineStr">
        <is>
          <t>신청 상태</t>
        </is>
      </c>
      <c r="J1" s="11" t="inlineStr">
        <is>
          <t>신청 예정</t>
        </is>
      </c>
      <c r="K1" s="11" t="inlineStr">
        <is>
          <t>활성 예정</t>
        </is>
      </c>
      <c r="L1" s="11" t="inlineStr">
        <is>
          <t>환경변수 / 비고</t>
        </is>
      </c>
    </row>
    <row r="2">
      <c r="A2" s="12" t="n">
        <v>1</v>
      </c>
      <c r="B2" s="13" t="inlineStr">
        <is>
          <t>결제</t>
        </is>
      </c>
      <c r="C2" s="13" t="inlineStr">
        <is>
          <t>토스페이먼츠</t>
        </is>
      </c>
      <c r="D2" s="13" t="inlineStr">
        <is>
          <t>Toss Payments</t>
        </is>
      </c>
      <c r="E2" s="13" t="inlineStr">
        <is>
          <t>필수</t>
        </is>
      </c>
      <c r="F2" s="13" t="inlineStr">
        <is>
          <t>거래 수수료 2.9% + 33원/건 (가입 무료)</t>
        </is>
      </c>
      <c r="G2" s="14" t="inlineStr">
        <is>
          <t>https://merchant.tosspayments.com/</t>
        </is>
      </c>
      <c r="H2" s="13" t="inlineStr">
        <is>
          <t>admin@pathwave</t>
        </is>
      </c>
      <c r="I2" s="15" t="inlineStr">
        <is>
          <t>대기</t>
        </is>
      </c>
      <c r="J2" s="16" t="inlineStr">
        <is>
          <t>2026-06-02</t>
        </is>
      </c>
      <c r="K2" s="16" t="inlineStr">
        <is>
          <t>2026-06-16</t>
        </is>
      </c>
      <c r="L2" s="13" t="inlineStr">
        <is>
          <t>TOSS_SECRET_KEY · 심사 1~2주</t>
        </is>
      </c>
    </row>
    <row r="3">
      <c r="A3" s="12" t="n">
        <v>1</v>
      </c>
      <c r="B3" s="13" t="inlineStr">
        <is>
          <t>스토어</t>
        </is>
      </c>
      <c r="C3" s="13" t="inlineStr">
        <is>
          <t>Apple Developer Program</t>
        </is>
      </c>
      <c r="D3" s="13" t="inlineStr">
        <is>
          <t>Apple</t>
        </is>
      </c>
      <c r="E3" s="13" t="inlineStr">
        <is>
          <t>필수</t>
        </is>
      </c>
      <c r="F3" s="13" t="inlineStr">
        <is>
          <t>$99/년 (₩148,500 @1500)</t>
        </is>
      </c>
      <c r="G3" s="14" t="inlineStr">
        <is>
          <t>https://developer.apple.com/programs/enroll/</t>
        </is>
      </c>
      <c r="H3" s="13" t="inlineStr">
        <is>
          <t>admin@pathwave</t>
        </is>
      </c>
      <c r="I3" s="15" t="inlineStr">
        <is>
          <t>대기</t>
        </is>
      </c>
      <c r="J3" s="16" t="inlineStr">
        <is>
          <t>2026-06-02</t>
        </is>
      </c>
      <c r="K3" s="16" t="inlineStr">
        <is>
          <t>2026-06-03</t>
        </is>
      </c>
      <c r="L3" s="13" t="inlineStr">
        <is>
          <t>이메일 이관 어려움 — admin@ 필수</t>
        </is>
      </c>
    </row>
    <row r="4">
      <c r="A4" s="12" t="n">
        <v>1</v>
      </c>
      <c r="B4" s="13" t="inlineStr">
        <is>
          <t>스토어</t>
        </is>
      </c>
      <c r="C4" s="13" t="inlineStr">
        <is>
          <t>Google Play Console</t>
        </is>
      </c>
      <c r="D4" s="13" t="inlineStr">
        <is>
          <t>Google</t>
        </is>
      </c>
      <c r="E4" s="13" t="inlineStr">
        <is>
          <t>필수</t>
        </is>
      </c>
      <c r="F4" s="13" t="inlineStr">
        <is>
          <t>$25 일회성 (₩37,500 @1500)</t>
        </is>
      </c>
      <c r="G4" s="14" t="inlineStr">
        <is>
          <t>https://play.google.com/console/u/0/signup</t>
        </is>
      </c>
      <c r="H4" s="13" t="inlineStr">
        <is>
          <t>admin@pathwave</t>
        </is>
      </c>
      <c r="I4" s="15" t="inlineStr">
        <is>
          <t>대기</t>
        </is>
      </c>
      <c r="J4" s="16" t="inlineStr">
        <is>
          <t>2026-06-02</t>
        </is>
      </c>
      <c r="K4" s="16" t="inlineStr">
        <is>
          <t>2026-06-03</t>
        </is>
      </c>
      <c r="L4" s="13" t="inlineStr"/>
    </row>
    <row r="5">
      <c r="A5" s="12" t="n">
        <v>1</v>
      </c>
      <c r="B5" s="13" t="inlineStr">
        <is>
          <t>도메인</t>
        </is>
      </c>
      <c r="C5" s="13" t="inlineStr">
        <is>
          <t>pathwave.co.kr (서비스)</t>
        </is>
      </c>
      <c r="D5" s="13" t="inlineStr">
        <is>
          <t>가비아</t>
        </is>
      </c>
      <c r="E5" s="13" t="inlineStr">
        <is>
          <t>필수</t>
        </is>
      </c>
      <c r="F5" s="13" t="inlineStr">
        <is>
          <t>연 3만원 (월 ~₩2,500)</t>
        </is>
      </c>
      <c r="G5" s="14" t="inlineStr">
        <is>
          <t>https://www.gabia.com/</t>
        </is>
      </c>
      <c r="H5" s="13" t="inlineStr">
        <is>
          <t>admin@pathwave</t>
        </is>
      </c>
      <c r="I5" s="15" t="inlineStr">
        <is>
          <t>대기</t>
        </is>
      </c>
      <c r="J5" s="16" t="inlineStr">
        <is>
          <t>2026-06-02</t>
        </is>
      </c>
      <c r="K5" s="16" t="inlineStr">
        <is>
          <t>2026-06-02</t>
        </is>
      </c>
      <c r="L5" s="13" t="inlineStr"/>
    </row>
    <row r="6">
      <c r="A6" s="12" t="n">
        <v>1</v>
      </c>
      <c r="B6" s="13" t="inlineStr">
        <is>
          <t>도메인</t>
        </is>
      </c>
      <c r="C6" s="13" t="inlineStr">
        <is>
          <t>triggersoft.kr (법인)</t>
        </is>
      </c>
      <c r="D6" s="13" t="inlineStr">
        <is>
          <t>가비아</t>
        </is>
      </c>
      <c r="E6" s="13" t="inlineStr">
        <is>
          <t>필수</t>
        </is>
      </c>
      <c r="F6" s="13" t="inlineStr">
        <is>
          <t>연 3만원 (월 ~₩2,500)</t>
        </is>
      </c>
      <c r="G6" s="14" t="inlineStr">
        <is>
          <t>https://www.gabia.com/</t>
        </is>
      </c>
      <c r="H6" s="13" t="inlineStr">
        <is>
          <t>admin@triggersoft</t>
        </is>
      </c>
      <c r="I6" s="15" t="inlineStr">
        <is>
          <t>대기</t>
        </is>
      </c>
      <c r="J6" s="16" t="inlineStr">
        <is>
          <t>2026-06-02</t>
        </is>
      </c>
      <c r="K6" s="16" t="inlineStr">
        <is>
          <t>2026-06-02</t>
        </is>
      </c>
      <c r="L6" s="13" t="inlineStr">
        <is>
          <t>법인 사업·세무·회계</t>
        </is>
      </c>
    </row>
    <row r="7">
      <c r="A7" s="12" t="n">
        <v>1</v>
      </c>
      <c r="B7" s="13" t="inlineStr">
        <is>
          <t>호스팅</t>
        </is>
      </c>
      <c r="C7" s="13" t="inlineStr">
        <is>
          <t>Cloudflare DNS/Tunnel</t>
        </is>
      </c>
      <c r="D7" s="13" t="inlineStr">
        <is>
          <t>Cloudflare</t>
        </is>
      </c>
      <c r="E7" s="13" t="inlineStr">
        <is>
          <t>필수</t>
        </is>
      </c>
      <c r="F7" s="13" t="inlineStr">
        <is>
          <t>무료</t>
        </is>
      </c>
      <c r="G7" s="14" t="inlineStr">
        <is>
          <t>https://dash.cloudflare.com/sign-up</t>
        </is>
      </c>
      <c r="H7" s="13" t="inlineStr">
        <is>
          <t>admin@pathwave</t>
        </is>
      </c>
      <c r="I7" s="15" t="inlineStr">
        <is>
          <t>대기</t>
        </is>
      </c>
      <c r="J7" s="16" t="inlineStr">
        <is>
          <t>2026-06-02</t>
        </is>
      </c>
      <c r="K7" s="16" t="inlineStr">
        <is>
          <t>2026-06-02</t>
        </is>
      </c>
      <c r="L7" s="13" t="inlineStr">
        <is>
          <t>DNS + dev 외부 접근</t>
        </is>
      </c>
    </row>
    <row r="8">
      <c r="A8" s="12" t="n">
        <v>1</v>
      </c>
      <c r="B8" s="13" t="inlineStr">
        <is>
          <t>호스팅</t>
        </is>
      </c>
      <c r="C8" s="13" t="inlineStr">
        <is>
          <t>가비아 G클라우드 (서버+DB)</t>
        </is>
      </c>
      <c r="D8" s="13" t="inlineStr">
        <is>
          <t>가비아</t>
        </is>
      </c>
      <c r="E8" s="13" t="inlineStr">
        <is>
          <t>필수</t>
        </is>
      </c>
      <c r="F8" s="13" t="inlineStr">
        <is>
          <t>월 ~5만원 (Light 통합)</t>
        </is>
      </c>
      <c r="G8" s="14" t="inlineStr">
        <is>
          <t>https://cloud.gabia.com/</t>
        </is>
      </c>
      <c r="H8" s="13" t="inlineStr">
        <is>
          <t>admin@pathwave</t>
        </is>
      </c>
      <c r="I8" s="15" t="inlineStr">
        <is>
          <t>대기</t>
        </is>
      </c>
      <c r="J8" s="16" t="inlineStr">
        <is>
          <t>2026-06-02</t>
        </is>
      </c>
      <c r="K8" s="16" t="inlineStr">
        <is>
          <t>2026-06-09</t>
        </is>
      </c>
      <c r="L8" s="13" t="inlineStr">
        <is>
          <t>국내 클라우드 — AWS 대신</t>
        </is>
      </c>
    </row>
    <row r="9">
      <c r="A9" s="12" t="n">
        <v>1</v>
      </c>
      <c r="B9" s="13" t="inlineStr">
        <is>
          <t>호스팅</t>
        </is>
      </c>
      <c r="C9" s="13" t="inlineStr">
        <is>
          <t>NHN Cloud (백업 옵션)</t>
        </is>
      </c>
      <c r="D9" s="13" t="inlineStr">
        <is>
          <t>NHN Cloud</t>
        </is>
      </c>
      <c r="E9" s="13" t="inlineStr">
        <is>
          <t>선택</t>
        </is>
      </c>
      <c r="F9" s="13" t="inlineStr">
        <is>
          <t>월 5~7만원 (m2.c2m4)</t>
        </is>
      </c>
      <c r="G9" s="14" t="inlineStr">
        <is>
          <t>https://www.toast.com/kr</t>
        </is>
      </c>
      <c r="H9" s="13" t="inlineStr">
        <is>
          <t>admin@pathwave</t>
        </is>
      </c>
      <c r="I9" s="15" t="inlineStr">
        <is>
          <t>대기</t>
        </is>
      </c>
      <c r="J9" s="16" t="inlineStr">
        <is>
          <t>검토</t>
        </is>
      </c>
      <c r="K9" s="16" t="inlineStr"/>
      <c r="L9" s="13" t="inlineStr">
        <is>
          <t>가비아 대체 옵션</t>
        </is>
      </c>
    </row>
    <row r="10">
      <c r="A10" s="12" t="n">
        <v>1</v>
      </c>
      <c r="B10" s="13" t="inlineStr">
        <is>
          <t>호스팅</t>
        </is>
      </c>
      <c r="C10" s="13" t="inlineStr">
        <is>
          <t>네이버 클라우드 (백업 옵션)</t>
        </is>
      </c>
      <c r="D10" s="13" t="inlineStr">
        <is>
          <t>Naver Cloud</t>
        </is>
      </c>
      <c r="E10" s="13" t="inlineStr">
        <is>
          <t>선택</t>
        </is>
      </c>
      <c r="F10" s="13" t="inlineStr">
        <is>
          <t>월 3~7만원 (micro)</t>
        </is>
      </c>
      <c r="G10" s="14" t="inlineStr">
        <is>
          <t>https://www.ncloud.com/</t>
        </is>
      </c>
      <c r="H10" s="13" t="inlineStr">
        <is>
          <t>admin@pathwave</t>
        </is>
      </c>
      <c r="I10" s="15" t="inlineStr">
        <is>
          <t>대기</t>
        </is>
      </c>
      <c r="J10" s="16" t="inlineStr">
        <is>
          <t>검토</t>
        </is>
      </c>
      <c r="K10" s="16" t="inlineStr"/>
      <c r="L10" s="13" t="inlineStr">
        <is>
          <t>가비아 대체 옵션</t>
        </is>
      </c>
    </row>
    <row r="11">
      <c r="A11" s="12" t="n">
        <v>1</v>
      </c>
      <c r="B11" s="13" t="inlineStr">
        <is>
          <t>호스팅</t>
        </is>
      </c>
      <c r="C11" s="13" t="inlineStr">
        <is>
          <t>프론트 정적 호스팅</t>
        </is>
      </c>
      <c r="D11" s="13" t="inlineStr">
        <is>
          <t>Vercel / Netlify / CFP</t>
        </is>
      </c>
      <c r="E11" s="13" t="inlineStr">
        <is>
          <t>필수</t>
        </is>
      </c>
      <c r="F11" s="13" t="inlineStr">
        <is>
          <t>무료 tier</t>
        </is>
      </c>
      <c r="G11" s="14" t="inlineStr">
        <is>
          <t>https://vercel.com/signup</t>
        </is>
      </c>
      <c r="H11" s="13" t="inlineStr">
        <is>
          <t>admin@pathwave</t>
        </is>
      </c>
      <c r="I11" s="15" t="inlineStr">
        <is>
          <t>대기</t>
        </is>
      </c>
      <c r="J11" s="16" t="inlineStr">
        <is>
          <t>2026-06-02</t>
        </is>
      </c>
      <c r="K11" s="16" t="inlineStr">
        <is>
          <t>2026-06-03</t>
        </is>
      </c>
      <c r="L11" s="13" t="inlineStr">
        <is>
          <t>admin-web + provider-web</t>
        </is>
      </c>
    </row>
    <row r="12">
      <c r="A12" s="12" t="n">
        <v>1</v>
      </c>
      <c r="B12" s="13" t="inlineStr">
        <is>
          <t>인증</t>
        </is>
      </c>
      <c r="C12" s="13" t="inlineStr">
        <is>
          <t>Firebase Auth</t>
        </is>
      </c>
      <c r="D12" s="13" t="inlineStr">
        <is>
          <t>Google</t>
        </is>
      </c>
      <c r="E12" s="13" t="inlineStr">
        <is>
          <t>필수</t>
        </is>
      </c>
      <c r="F12" s="13" t="inlineStr">
        <is>
          <t>무료 (10K MAU)</t>
        </is>
      </c>
      <c r="G12" s="14" t="inlineStr">
        <is>
          <t>https://console.firebase.google.com/</t>
        </is>
      </c>
      <c r="H12" s="13" t="inlineStr">
        <is>
          <t>dev@pathwave</t>
        </is>
      </c>
      <c r="I12" s="15" t="inlineStr">
        <is>
          <t>대기</t>
        </is>
      </c>
      <c r="J12" s="16" t="inlineStr">
        <is>
          <t>2026-06-02</t>
        </is>
      </c>
      <c r="K12" s="16" t="inlineStr">
        <is>
          <t>2026-06-03</t>
        </is>
      </c>
      <c r="L12" s="13" t="inlineStr">
        <is>
          <t>인증 전용 — 푸시는 자체구축</t>
        </is>
      </c>
    </row>
    <row r="13">
      <c r="A13" s="12" t="n">
        <v>1</v>
      </c>
      <c r="B13" s="13" t="inlineStr">
        <is>
          <t>푸시(iOS)</t>
        </is>
      </c>
      <c r="C13" s="13" t="inlineStr">
        <is>
          <t>APNs (Apple Push)</t>
        </is>
      </c>
      <c r="D13" s="13" t="inlineStr">
        <is>
          <t>Apple</t>
        </is>
      </c>
      <c r="E13" s="13" t="inlineStr">
        <is>
          <t>필수</t>
        </is>
      </c>
      <c r="F13" s="13" t="inlineStr">
        <is>
          <t>무료 (Apple Developer 포함)</t>
        </is>
      </c>
      <c r="G13" s="14" t="inlineStr">
        <is>
          <t>https://developer.apple.com/account/resources/</t>
        </is>
      </c>
      <c r="H13" s="13" t="inlineStr">
        <is>
          <t>admin@pathwave</t>
        </is>
      </c>
      <c r="I13" s="15" t="inlineStr">
        <is>
          <t>대기</t>
        </is>
      </c>
      <c r="J13" s="16" t="inlineStr">
        <is>
          <t>2026-06-03</t>
        </is>
      </c>
      <c r="K13" s="16" t="inlineStr">
        <is>
          <t>2026-06-09</t>
        </is>
      </c>
      <c r="L13" s="13" t="inlineStr">
        <is>
          <t>자체구축 — APNs HTTP/2 + JWT (PR #50)</t>
        </is>
      </c>
    </row>
    <row r="14">
      <c r="A14" s="12" t="n">
        <v>1</v>
      </c>
      <c r="B14" s="13" t="inlineStr">
        <is>
          <t>푸시(Android)</t>
        </is>
      </c>
      <c r="C14" s="13" t="inlineStr">
        <is>
          <t>FCM 또는 자체 (현실 한계)</t>
        </is>
      </c>
      <c r="D14" s="13" t="inlineStr">
        <is>
          <t>Google</t>
        </is>
      </c>
      <c r="E14" s="13" t="inlineStr">
        <is>
          <t>필수</t>
        </is>
      </c>
      <c r="F14" s="13" t="inlineStr">
        <is>
          <t>무료 무제한</t>
        </is>
      </c>
      <c r="G14" s="14" t="inlineStr">
        <is>
          <t>https://console.firebase.google.com/</t>
        </is>
      </c>
      <c r="H14" s="13" t="inlineStr">
        <is>
          <t>dev@pathwave</t>
        </is>
      </c>
      <c r="I14" s="15" t="inlineStr">
        <is>
          <t>대기</t>
        </is>
      </c>
      <c r="J14" s="16" t="inlineStr">
        <is>
          <t>검토</t>
        </is>
      </c>
      <c r="K14" s="16" t="inlineStr"/>
      <c r="L14" s="13" t="inlineStr">
        <is>
          <t>⚠ Android 백그라운드 푸시는 FCM 외 사실상 불가 (Google Play Services 의존). 사용자 정책상 자체구축 원할 경우 in-app WebSocket fallback 만 가능</t>
        </is>
      </c>
    </row>
    <row r="15">
      <c r="A15" s="12" t="n">
        <v>1</v>
      </c>
      <c r="B15" s="13" t="inlineStr">
        <is>
          <t>이메일도메인</t>
        </is>
      </c>
      <c r="C15" s="13" t="inlineStr">
        <is>
          <t>Google Workspace (Pathwave)</t>
        </is>
      </c>
      <c r="D15" s="13" t="inlineStr">
        <is>
          <t>Google</t>
        </is>
      </c>
      <c r="E15" s="13" t="inlineStr">
        <is>
          <t>필수</t>
        </is>
      </c>
      <c r="F15" s="13" t="inlineStr">
        <is>
          <t>$7/계정/월 (₩10,500 @1500) + alias 4 무료</t>
        </is>
      </c>
      <c r="G15" s="14" t="inlineStr">
        <is>
          <t>https://workspace.google.com/</t>
        </is>
      </c>
      <c r="H15" s="13" t="inlineStr">
        <is>
          <t>admin@pathwave</t>
        </is>
      </c>
      <c r="I15" s="15" t="inlineStr">
        <is>
          <t>대기</t>
        </is>
      </c>
      <c r="J15" s="16" t="inlineStr">
        <is>
          <t>2026-06-02</t>
        </is>
      </c>
      <c r="K15" s="16" t="inlineStr">
        <is>
          <t>2026-06-02</t>
        </is>
      </c>
      <c r="L15" s="13" t="inlineStr">
        <is>
          <t>5개 alias (admin/dev/support/noreply/info)</t>
        </is>
      </c>
    </row>
    <row r="16">
      <c r="A16" s="12" t="n">
        <v>1</v>
      </c>
      <c r="B16" s="13" t="inlineStr">
        <is>
          <t>이메일도메인</t>
        </is>
      </c>
      <c r="C16" s="13" t="inlineStr">
        <is>
          <t>Google Workspace (Triggersoft)</t>
        </is>
      </c>
      <c r="D16" s="13" t="inlineStr">
        <is>
          <t>Google</t>
        </is>
      </c>
      <c r="E16" s="13" t="inlineStr">
        <is>
          <t>필수</t>
        </is>
      </c>
      <c r="F16" s="13" t="inlineStr">
        <is>
          <t>$7/계정/월 (₩10,500 @1500)</t>
        </is>
      </c>
      <c r="G16" s="14" t="inlineStr">
        <is>
          <t>https://workspace.google.com/</t>
        </is>
      </c>
      <c r="H16" s="13" t="inlineStr">
        <is>
          <t>admin@triggersoft</t>
        </is>
      </c>
      <c r="I16" s="15" t="inlineStr">
        <is>
          <t>대기</t>
        </is>
      </c>
      <c r="J16" s="16" t="inlineStr">
        <is>
          <t>2026-06-02</t>
        </is>
      </c>
      <c r="K16" s="16" t="inlineStr">
        <is>
          <t>2026-06-02</t>
        </is>
      </c>
      <c r="L16" s="13" t="inlineStr">
        <is>
          <t>법인 운영 1계정</t>
        </is>
      </c>
    </row>
    <row r="17">
      <c r="A17" s="12" t="n">
        <v>1</v>
      </c>
      <c r="B17" s="13" t="inlineStr">
        <is>
          <t>상표등록</t>
        </is>
      </c>
      <c r="C17" s="13" t="inlineStr">
        <is>
          <t>상표등록 — 패스웨이브</t>
        </is>
      </c>
      <c r="D17" s="13" t="inlineStr">
        <is>
          <t>특허청 (셀프 또는 변리사)</t>
        </is>
      </c>
      <c r="E17" s="13" t="inlineStr">
        <is>
          <t>필수</t>
        </is>
      </c>
      <c r="F17" s="13" t="inlineStr">
        <is>
          <t>셀프 약 27만원 / 변리사 위탁 50~80만원</t>
        </is>
      </c>
      <c r="G17" s="14" t="inlineStr">
        <is>
          <t>https://www.patent.go.kr/</t>
        </is>
      </c>
      <c r="H17" s="13" t="inlineStr">
        <is>
          <t>admin@triggersoft</t>
        </is>
      </c>
      <c r="I17" s="15" t="inlineStr">
        <is>
          <t>대기</t>
        </is>
      </c>
      <c r="J17" s="16" t="inlineStr">
        <is>
          <t>2026-06-09</t>
        </is>
      </c>
      <c r="K17" s="16" t="inlineStr">
        <is>
          <t>심사 6~12개월</t>
        </is>
      </c>
      <c r="L17" s="13" t="inlineStr">
        <is>
          <t>출원료 56,000 + 등록료 211,000 (10년) — 셀프</t>
        </is>
      </c>
    </row>
    <row r="18">
      <c r="A18" s="12" t="n">
        <v>1</v>
      </c>
      <c r="B18" s="13" t="inlineStr">
        <is>
          <t>상표등록</t>
        </is>
      </c>
      <c r="C18" s="13" t="inlineStr">
        <is>
          <t>상표등록 — 트리거소프트</t>
        </is>
      </c>
      <c r="D18" s="13" t="inlineStr">
        <is>
          <t>특허청 (셀프 또는 변리사)</t>
        </is>
      </c>
      <c r="E18" s="13" t="inlineStr">
        <is>
          <t>필수</t>
        </is>
      </c>
      <c r="F18" s="13" t="inlineStr">
        <is>
          <t>셀프 약 27만원 / 변리사 위탁 50~80만원</t>
        </is>
      </c>
      <c r="G18" s="14" t="inlineStr">
        <is>
          <t>https://www.patent.go.kr/</t>
        </is>
      </c>
      <c r="H18" s="13" t="inlineStr">
        <is>
          <t>admin@triggersoft</t>
        </is>
      </c>
      <c r="I18" s="15" t="inlineStr">
        <is>
          <t>대기</t>
        </is>
      </c>
      <c r="J18" s="16" t="inlineStr">
        <is>
          <t>2026-06-09</t>
        </is>
      </c>
      <c r="K18" s="16" t="inlineStr">
        <is>
          <t>심사 6~12개월</t>
        </is>
      </c>
      <c r="L18" s="13" t="inlineStr">
        <is>
          <t>법인명 상표</t>
        </is>
      </c>
    </row>
    <row r="19">
      <c r="A19" s="17" t="n">
        <v>2</v>
      </c>
      <c r="B19" s="13" t="inlineStr">
        <is>
          <t>소셜로그인</t>
        </is>
      </c>
      <c r="C19" s="13" t="inlineStr">
        <is>
          <t>카카오 로그인</t>
        </is>
      </c>
      <c r="D19" s="13" t="inlineStr">
        <is>
          <t>Kakao</t>
        </is>
      </c>
      <c r="E19" s="13" t="inlineStr">
        <is>
          <t>필수</t>
        </is>
      </c>
      <c r="F19" s="13" t="inlineStr">
        <is>
          <t>무료</t>
        </is>
      </c>
      <c r="G19" s="14" t="inlineStr">
        <is>
          <t>https://developers.kakao.com/</t>
        </is>
      </c>
      <c r="H19" s="13" t="inlineStr">
        <is>
          <t>info@pathwave</t>
        </is>
      </c>
      <c r="I19" s="15" t="inlineStr">
        <is>
          <t>대기</t>
        </is>
      </c>
      <c r="J19" s="16" t="inlineStr">
        <is>
          <t>2026-06-02</t>
        </is>
      </c>
      <c r="K19" s="16" t="inlineStr">
        <is>
          <t>2026-06-16</t>
        </is>
      </c>
      <c r="L19" s="13" t="inlineStr">
        <is>
          <t>검수 1~2주</t>
        </is>
      </c>
    </row>
    <row r="20">
      <c r="A20" s="17" t="n">
        <v>2</v>
      </c>
      <c r="B20" s="13" t="inlineStr">
        <is>
          <t>소셜로그인</t>
        </is>
      </c>
      <c r="C20" s="13" t="inlineStr">
        <is>
          <t>네이버 로그인</t>
        </is>
      </c>
      <c r="D20" s="13" t="inlineStr">
        <is>
          <t>Naver</t>
        </is>
      </c>
      <c r="E20" s="13" t="inlineStr">
        <is>
          <t>필수</t>
        </is>
      </c>
      <c r="F20" s="13" t="inlineStr">
        <is>
          <t>무료</t>
        </is>
      </c>
      <c r="G20" s="14" t="inlineStr">
        <is>
          <t>https://developers.naver.com/</t>
        </is>
      </c>
      <c r="H20" s="13" t="inlineStr">
        <is>
          <t>info@pathwave</t>
        </is>
      </c>
      <c r="I20" s="15" t="inlineStr">
        <is>
          <t>대기</t>
        </is>
      </c>
      <c r="J20" s="16" t="inlineStr">
        <is>
          <t>2026-06-02</t>
        </is>
      </c>
      <c r="K20" s="16" t="inlineStr">
        <is>
          <t>2026-06-09</t>
        </is>
      </c>
      <c r="L20" s="13" t="inlineStr"/>
    </row>
    <row r="21">
      <c r="A21" s="17" t="n">
        <v>2</v>
      </c>
      <c r="B21" s="13" t="inlineStr">
        <is>
          <t>알림톡/SMS</t>
        </is>
      </c>
      <c r="C21" s="13" t="inlineStr">
        <is>
          <t>솔라피 알림톡</t>
        </is>
      </c>
      <c r="D21" s="13" t="inlineStr">
        <is>
          <t>Solapi</t>
        </is>
      </c>
      <c r="E21" s="13" t="inlineStr">
        <is>
          <t>필수</t>
        </is>
      </c>
      <c r="F21" s="13" t="inlineStr">
        <is>
          <t>건당 7~9원 (사용량)</t>
        </is>
      </c>
      <c r="G21" s="14" t="inlineStr">
        <is>
          <t>https://solapi.com/</t>
        </is>
      </c>
      <c r="H21" s="13" t="inlineStr">
        <is>
          <t>dev@pathwave</t>
        </is>
      </c>
      <c r="I21" s="15" t="inlineStr">
        <is>
          <t>대기</t>
        </is>
      </c>
      <c r="J21" s="16" t="inlineStr">
        <is>
          <t>2026-06-02</t>
        </is>
      </c>
      <c r="K21" s="16" t="inlineStr">
        <is>
          <t>2026-06-16</t>
        </is>
      </c>
      <c r="L21" s="13" t="inlineStr">
        <is>
          <t>템플릿 사전심사 1~2주</t>
        </is>
      </c>
    </row>
    <row r="22">
      <c r="A22" s="17" t="n">
        <v>2</v>
      </c>
      <c r="B22" s="13" t="inlineStr">
        <is>
          <t>알림톡/SMS</t>
        </is>
      </c>
      <c r="C22" s="13" t="inlineStr">
        <is>
          <t>솔라피 SMS 인증</t>
        </is>
      </c>
      <c r="D22" s="13" t="inlineStr">
        <is>
          <t>Solapi</t>
        </is>
      </c>
      <c r="E22" s="13" t="inlineStr">
        <is>
          <t>필수</t>
        </is>
      </c>
      <c r="F22" s="13" t="inlineStr">
        <is>
          <t>건당 8~15원 (LMS 28~35원)</t>
        </is>
      </c>
      <c r="G22" s="14" t="inlineStr">
        <is>
          <t>https://solapi.com/</t>
        </is>
      </c>
      <c r="H22" s="13" t="inlineStr">
        <is>
          <t>dev@pathwave</t>
        </is>
      </c>
      <c r="I22" s="15" t="inlineStr">
        <is>
          <t>대기</t>
        </is>
      </c>
      <c r="J22" s="16" t="inlineStr">
        <is>
          <t>2026-06-02</t>
        </is>
      </c>
      <c r="K22" s="16" t="inlineStr">
        <is>
          <t>2026-06-09</t>
        </is>
      </c>
      <c r="L22" s="13" t="inlineStr">
        <is>
          <t>회원가입 인증</t>
        </is>
      </c>
    </row>
    <row r="23">
      <c r="A23" s="17" t="n">
        <v>2</v>
      </c>
      <c r="B23" s="13" t="inlineStr">
        <is>
          <t>이메일</t>
        </is>
      </c>
      <c r="C23" s="13" t="inlineStr">
        <is>
          <t>SendGrid</t>
        </is>
      </c>
      <c r="D23" s="13" t="inlineStr">
        <is>
          <t>Twilio</t>
        </is>
      </c>
      <c r="E23" s="13" t="inlineStr">
        <is>
          <t>필수</t>
        </is>
      </c>
      <c r="F23" s="13" t="inlineStr">
        <is>
          <t>무료 100통/일</t>
        </is>
      </c>
      <c r="G23" s="14" t="inlineStr">
        <is>
          <t>https://signup.sendgrid.com/</t>
        </is>
      </c>
      <c r="H23" s="13" t="inlineStr">
        <is>
          <t>dev@pathwave</t>
        </is>
      </c>
      <c r="I23" s="15" t="inlineStr">
        <is>
          <t>대기</t>
        </is>
      </c>
      <c r="J23" s="16" t="inlineStr">
        <is>
          <t>2026-06-02</t>
        </is>
      </c>
      <c r="K23" s="16" t="inlineStr">
        <is>
          <t>2026-06-03</t>
        </is>
      </c>
      <c r="L23" s="13" t="inlineStr">
        <is>
          <t>발신: support@</t>
        </is>
      </c>
    </row>
    <row r="24">
      <c r="A24" s="17" t="n">
        <v>2</v>
      </c>
      <c r="B24" s="13" t="inlineStr">
        <is>
          <t>모니터링</t>
        </is>
      </c>
      <c r="C24" s="13" t="inlineStr">
        <is>
          <t>Sentry</t>
        </is>
      </c>
      <c r="D24" s="13" t="inlineStr">
        <is>
          <t>Sentry</t>
        </is>
      </c>
      <c r="E24" s="13" t="inlineStr">
        <is>
          <t>필수</t>
        </is>
      </c>
      <c r="F24" s="13" t="inlineStr">
        <is>
          <t>무료 5K events/월</t>
        </is>
      </c>
      <c r="G24" s="14" t="inlineStr">
        <is>
          <t>https://sentry.io/signup/</t>
        </is>
      </c>
      <c r="H24" s="13" t="inlineStr">
        <is>
          <t>dev@pathwave</t>
        </is>
      </c>
      <c r="I24" s="15" t="inlineStr">
        <is>
          <t>대기</t>
        </is>
      </c>
      <c r="J24" s="16" t="inlineStr">
        <is>
          <t>2026-06-02</t>
        </is>
      </c>
      <c r="K24" s="16" t="inlineStr">
        <is>
          <t>2026-06-03</t>
        </is>
      </c>
      <c r="L24" s="13" t="inlineStr">
        <is>
          <t>백엔드 통합 완료</t>
        </is>
      </c>
    </row>
    <row r="25">
      <c r="A25" s="17" t="n">
        <v>2</v>
      </c>
      <c r="B25" s="13" t="inlineStr">
        <is>
          <t>지도</t>
        </is>
      </c>
      <c r="C25" s="13" t="inlineStr">
        <is>
          <t>Google Maps API</t>
        </is>
      </c>
      <c r="D25" s="13" t="inlineStr">
        <is>
          <t>Google</t>
        </is>
      </c>
      <c r="E25" s="13" t="inlineStr">
        <is>
          <t>필수</t>
        </is>
      </c>
      <c r="F25" s="13" t="inlineStr">
        <is>
          <t>월 $200 무료 크레딧</t>
        </is>
      </c>
      <c r="G25" s="14" t="inlineStr">
        <is>
          <t>https://console.cloud.google.com/</t>
        </is>
      </c>
      <c r="H25" s="13" t="inlineStr">
        <is>
          <t>dev@pathwave</t>
        </is>
      </c>
      <c r="I25" s="15" t="inlineStr">
        <is>
          <t>대기</t>
        </is>
      </c>
      <c r="J25" s="16" t="inlineStr">
        <is>
          <t>2026-06-02</t>
        </is>
      </c>
      <c r="K25" s="16" t="inlineStr">
        <is>
          <t>2026-06-03</t>
        </is>
      </c>
      <c r="L25" s="13" t="inlineStr">
        <is>
          <t>카드 등록 필수</t>
        </is>
      </c>
    </row>
    <row r="26">
      <c r="A26" s="18" t="n">
        <v>3</v>
      </c>
      <c r="B26" s="13" t="inlineStr">
        <is>
          <t>본인인증</t>
        </is>
      </c>
      <c r="C26" s="13" t="inlineStr">
        <is>
          <t>NICE / KCB / PASS</t>
        </is>
      </c>
      <c r="D26" s="13" t="inlineStr">
        <is>
          <t>본인인증 사업자</t>
        </is>
      </c>
      <c r="E26" s="13" t="inlineStr">
        <is>
          <t>선택</t>
        </is>
      </c>
      <c r="F26" s="13" t="inlineStr">
        <is>
          <t>계약 보증금 ~10만원 + 건당 30~80원</t>
        </is>
      </c>
      <c r="G26" s="14" t="inlineStr">
        <is>
          <t>https://www.niceinfo.co.kr/</t>
        </is>
      </c>
      <c r="H26" s="13" t="inlineStr">
        <is>
          <t>admin@pathwave</t>
        </is>
      </c>
      <c r="I26" s="15" t="inlineStr">
        <is>
          <t>대기</t>
        </is>
      </c>
      <c r="J26" s="16" t="inlineStr">
        <is>
          <t>2026-06-말</t>
        </is>
      </c>
      <c r="K26" s="16" t="inlineStr">
        <is>
          <t>2026-07-중</t>
        </is>
      </c>
      <c r="L26" s="13" t="inlineStr">
        <is>
          <t>미성년자 확인</t>
        </is>
      </c>
    </row>
    <row r="27">
      <c r="A27" s="18" t="n">
        <v>3</v>
      </c>
      <c r="B27" s="13" t="inlineStr">
        <is>
          <t>번역</t>
        </is>
      </c>
      <c r="C27" s="13" t="inlineStr">
        <is>
          <t>DeepL Pro</t>
        </is>
      </c>
      <c r="D27" s="13" t="inlineStr">
        <is>
          <t>DeepL</t>
        </is>
      </c>
      <c r="E27" s="13" t="inlineStr">
        <is>
          <t>선택</t>
        </is>
      </c>
      <c r="F27" s="13" t="inlineStr">
        <is>
          <t>무료 500K chars/월 / Starter ~€5/월</t>
        </is>
      </c>
      <c r="G27" s="14" t="inlineStr">
        <is>
          <t>https://www.deepl.com/pro</t>
        </is>
      </c>
      <c r="H27" s="13" t="inlineStr">
        <is>
          <t>dev@pathwave</t>
        </is>
      </c>
      <c r="I27" s="15" t="inlineStr">
        <is>
          <t>대기</t>
        </is>
      </c>
      <c r="J27" s="16" t="inlineStr">
        <is>
          <t>2026-07-초</t>
        </is>
      </c>
      <c r="K27" s="16" t="inlineStr">
        <is>
          <t>2026-07-중</t>
        </is>
      </c>
      <c r="L27" s="13" t="inlineStr">
        <is>
          <t>P8b 채팅 자동번역 USP</t>
        </is>
      </c>
    </row>
    <row r="28">
      <c r="A28" s="18" t="n">
        <v>3</v>
      </c>
      <c r="B28" s="13" t="inlineStr">
        <is>
          <t>번역</t>
        </is>
      </c>
      <c r="C28" s="13" t="inlineStr">
        <is>
          <t>Google Translate (대안)</t>
        </is>
      </c>
      <c r="D28" s="13" t="inlineStr">
        <is>
          <t>Google</t>
        </is>
      </c>
      <c r="E28" s="13" t="inlineStr">
        <is>
          <t>선택</t>
        </is>
      </c>
      <c r="F28" s="13" t="inlineStr">
        <is>
          <t>$20/1M chars</t>
        </is>
      </c>
      <c r="G28" s="14" t="inlineStr">
        <is>
          <t>https://console.cloud.google.com/</t>
        </is>
      </c>
      <c r="H28" s="13" t="inlineStr">
        <is>
          <t>dev@pathwave</t>
        </is>
      </c>
      <c r="I28" s="15" t="inlineStr">
        <is>
          <t>대기</t>
        </is>
      </c>
      <c r="J28" s="16" t="inlineStr">
        <is>
          <t>대안</t>
        </is>
      </c>
      <c r="K28" s="16" t="inlineStr"/>
      <c r="L28" s="13" t="inlineStr"/>
    </row>
    <row r="29">
      <c r="A29" s="18" t="n">
        <v>3</v>
      </c>
      <c r="B29" s="13" t="inlineStr">
        <is>
          <t>자동화 S2</t>
        </is>
      </c>
      <c r="C29" s="13" t="inlineStr">
        <is>
          <t>Channeltalk</t>
        </is>
      </c>
      <c r="D29" s="13" t="inlineStr">
        <is>
          <t>Channel.io</t>
        </is>
      </c>
      <c r="E29" s="13" t="inlineStr">
        <is>
          <t>선택</t>
        </is>
      </c>
      <c r="F29" s="13" t="inlineStr">
        <is>
          <t>무료~5만원/월</t>
        </is>
      </c>
      <c r="G29" s="14" t="inlineStr">
        <is>
          <t>https://channel.io/ko</t>
        </is>
      </c>
      <c r="H29" s="13" t="inlineStr">
        <is>
          <t>dev@pathwave</t>
        </is>
      </c>
      <c r="I29" s="15" t="inlineStr">
        <is>
          <t>대기</t>
        </is>
      </c>
      <c r="J29" s="16" t="inlineStr">
        <is>
          <t>출시 후</t>
        </is>
      </c>
      <c r="K29" s="16" t="inlineStr"/>
      <c r="L29" s="13" t="inlineStr"/>
    </row>
    <row r="30">
      <c r="A30" s="18" t="n">
        <v>3</v>
      </c>
      <c r="B30" s="13" t="inlineStr">
        <is>
          <t>자동화 S2</t>
        </is>
      </c>
      <c r="C30" s="13" t="inlineStr">
        <is>
          <t>ChatGPT API</t>
        </is>
      </c>
      <c r="D30" s="13" t="inlineStr">
        <is>
          <t>OpenAI</t>
        </is>
      </c>
      <c r="E30" s="13" t="inlineStr">
        <is>
          <t>선택</t>
        </is>
      </c>
      <c r="F30" s="13" t="inlineStr">
        <is>
          <t>$0.15~3/M tokens</t>
        </is>
      </c>
      <c r="G30" s="14" t="inlineStr">
        <is>
          <t>https://platform.openai.com/signup</t>
        </is>
      </c>
      <c r="H30" s="13" t="inlineStr">
        <is>
          <t>dev@pathwave</t>
        </is>
      </c>
      <c r="I30" s="15" t="inlineStr">
        <is>
          <t>대기</t>
        </is>
      </c>
      <c r="J30" s="16" t="inlineStr">
        <is>
          <t>출시 후</t>
        </is>
      </c>
      <c r="K30" s="16" t="inlineStr"/>
      <c r="L30" s="13" t="inlineStr">
        <is>
          <t>응대 자동화</t>
        </is>
      </c>
    </row>
    <row r="31">
      <c r="A31" s="18" t="n">
        <v>3</v>
      </c>
      <c r="B31" s="13" t="inlineStr">
        <is>
          <t>자동화 S2</t>
        </is>
      </c>
      <c r="C31" s="13" t="inlineStr">
        <is>
          <t>Make.com</t>
        </is>
      </c>
      <c r="D31" s="13" t="inlineStr">
        <is>
          <t>Make</t>
        </is>
      </c>
      <c r="E31" s="13" t="inlineStr">
        <is>
          <t>선택</t>
        </is>
      </c>
      <c r="F31" s="13" t="inlineStr">
        <is>
          <t>무료~$9~30/월</t>
        </is>
      </c>
      <c r="G31" s="14" t="inlineStr">
        <is>
          <t>https://www.make.com/en/register</t>
        </is>
      </c>
      <c r="H31" s="13" t="inlineStr">
        <is>
          <t>dev@pathwave</t>
        </is>
      </c>
      <c r="I31" s="15" t="inlineStr">
        <is>
          <t>대기</t>
        </is>
      </c>
      <c r="J31" s="16" t="inlineStr">
        <is>
          <t>출시 후</t>
        </is>
      </c>
      <c r="K31" s="16" t="inlineStr"/>
      <c r="L31" s="13" t="inlineStr">
        <is>
          <t>노코드 허브</t>
        </is>
      </c>
    </row>
    <row r="32">
      <c r="A32" s="18" t="n">
        <v>3</v>
      </c>
      <c r="B32" s="13" t="inlineStr">
        <is>
          <t>자동화 S2</t>
        </is>
      </c>
      <c r="C32" s="13" t="inlineStr">
        <is>
          <t>Buffer / Metricool</t>
        </is>
      </c>
      <c r="D32" s="13" t="inlineStr">
        <is>
          <t>Buffer / Metricool</t>
        </is>
      </c>
      <c r="E32" s="13" t="inlineStr">
        <is>
          <t>선택</t>
        </is>
      </c>
      <c r="F32" s="13" t="inlineStr">
        <is>
          <t>$6~15/월</t>
        </is>
      </c>
      <c r="G32" s="14" t="inlineStr">
        <is>
          <t>https://buffer.com/pricing</t>
        </is>
      </c>
      <c r="H32" s="13" t="inlineStr">
        <is>
          <t>info@pathwave</t>
        </is>
      </c>
      <c r="I32" s="15" t="inlineStr">
        <is>
          <t>대기</t>
        </is>
      </c>
      <c r="J32" s="16" t="inlineStr">
        <is>
          <t>출시 후</t>
        </is>
      </c>
      <c r="K32" s="16" t="inlineStr"/>
      <c r="L32" s="13" t="inlineStr">
        <is>
          <t>SNS 자동</t>
        </is>
      </c>
    </row>
    <row r="33">
      <c r="A33" s="18" t="n">
        <v>3</v>
      </c>
      <c r="B33" s="13" t="inlineStr">
        <is>
          <t>자동화 S3</t>
        </is>
      </c>
      <c r="C33" s="13" t="inlineStr">
        <is>
          <t>HubSpot CRM</t>
        </is>
      </c>
      <c r="D33" s="13" t="inlineStr">
        <is>
          <t>HubSpot</t>
        </is>
      </c>
      <c r="E33" s="13" t="inlineStr">
        <is>
          <t>선택</t>
        </is>
      </c>
      <c r="F33" s="13" t="inlineStr">
        <is>
          <t>$20~50/월</t>
        </is>
      </c>
      <c r="G33" s="14" t="inlineStr">
        <is>
          <t>https://www.hubspot.com/</t>
        </is>
      </c>
      <c r="H33" s="13" t="inlineStr">
        <is>
          <t>admin@pathwave</t>
        </is>
      </c>
      <c r="I33" s="15" t="inlineStr">
        <is>
          <t>대기</t>
        </is>
      </c>
      <c r="J33" s="16" t="inlineStr">
        <is>
          <t>+3개월</t>
        </is>
      </c>
      <c r="K33" s="16" t="inlineStr"/>
      <c r="L33" s="13" t="inlineStr"/>
    </row>
    <row r="34">
      <c r="A34" s="18" t="n">
        <v>3</v>
      </c>
      <c r="B34" s="13" t="inlineStr">
        <is>
          <t>자동화 S2</t>
        </is>
      </c>
      <c r="C34" s="13" t="inlineStr">
        <is>
          <t>Twilio Voice</t>
        </is>
      </c>
      <c r="D34" s="13" t="inlineStr">
        <is>
          <t>Twilio</t>
        </is>
      </c>
      <c r="E34" s="13" t="inlineStr">
        <is>
          <t>선택</t>
        </is>
      </c>
      <c r="F34" s="13" t="inlineStr">
        <is>
          <t>분당 100~500원</t>
        </is>
      </c>
      <c r="G34" s="14" t="inlineStr">
        <is>
          <t>https://www.twilio.com/</t>
        </is>
      </c>
      <c r="H34" s="13" t="inlineStr">
        <is>
          <t>admin@pathwave</t>
        </is>
      </c>
      <c r="I34" s="15" t="inlineStr">
        <is>
          <t>대기</t>
        </is>
      </c>
      <c r="J34" s="16" t="inlineStr">
        <is>
          <t>+3개월</t>
        </is>
      </c>
      <c r="K34" s="16" t="inlineStr"/>
      <c r="L34" s="13" t="inlineStr">
        <is>
          <t>AI 음성</t>
        </is>
      </c>
    </row>
  </sheetData>
  <dataValidations count="1">
    <dataValidation sqref="I2:I34" showDropDown="0" showInputMessage="0" showErrorMessage="0" allowBlank="1" type="list">
      <formula1>"대기,신청중,검수중,활성,검토,대안,보류"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</cols>
  <sheetData>
    <row r="1">
      <c r="A1" s="1" t="inlineStr">
        <is>
          <t>초기 세팅비 — 출시 전 1회성 / 연 1회 비용 (월별 시트에 분산 안 함)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1" t="inlineStr">
        <is>
          <t>항목</t>
        </is>
      </c>
      <c r="B3" s="11" t="inlineStr">
        <is>
          <t>금액 (₩)</t>
        </is>
      </c>
      <c r="C3" s="11" t="inlineStr">
        <is>
          <t>주기</t>
        </is>
      </c>
      <c r="D3" s="11" t="inlineStr">
        <is>
          <t>비고</t>
        </is>
      </c>
    </row>
    <row r="4">
      <c r="A4" s="13" t="inlineStr">
        <is>
          <t>Apple Developer Program — 첫 회비</t>
        </is>
      </c>
      <c r="B4" s="19" t="n">
        <v>148500</v>
      </c>
      <c r="C4" s="13" t="inlineStr">
        <is>
          <t>연 1회</t>
        </is>
      </c>
      <c r="D4" s="13" t="inlineStr">
        <is>
          <t>$99 × 1500</t>
        </is>
      </c>
    </row>
    <row r="5">
      <c r="A5" s="13" t="inlineStr">
        <is>
          <t>Google Play Console — 등록비</t>
        </is>
      </c>
      <c r="B5" s="19" t="n">
        <v>37500</v>
      </c>
      <c r="C5" s="13" t="inlineStr">
        <is>
          <t>일회성</t>
        </is>
      </c>
      <c r="D5" s="13" t="inlineStr">
        <is>
          <t>$25 일회성</t>
        </is>
      </c>
    </row>
    <row r="6">
      <c r="A6" s="13" t="inlineStr">
        <is>
          <t>도메인 — pathwave.co.kr</t>
        </is>
      </c>
      <c r="B6" s="19" t="n">
        <v>30000</v>
      </c>
      <c r="C6" s="13" t="inlineStr">
        <is>
          <t>연 1회</t>
        </is>
      </c>
      <c r="D6" s="13" t="inlineStr">
        <is>
          <t>서비스 도메인 (가비아)</t>
        </is>
      </c>
    </row>
    <row r="7">
      <c r="A7" s="13" t="inlineStr">
        <is>
          <t>도메인 — triggersoft.kr</t>
        </is>
      </c>
      <c r="B7" s="19" t="n">
        <v>30000</v>
      </c>
      <c r="C7" s="13" t="inlineStr">
        <is>
          <t>연 1회</t>
        </is>
      </c>
      <c r="D7" s="13" t="inlineStr">
        <is>
          <t>법인 도메인 (가비아)</t>
        </is>
      </c>
    </row>
    <row r="8">
      <c r="A8" s="13" t="inlineStr">
        <is>
          <t>상표등록 — 패스웨이브 (셀프 출원)</t>
        </is>
      </c>
      <c r="B8" s="19" t="n">
        <v>267000</v>
      </c>
      <c r="C8" s="13" t="inlineStr">
        <is>
          <t>일회성</t>
        </is>
      </c>
      <c r="D8" s="13" t="inlineStr">
        <is>
          <t>출원 56,000 + 등록 211,000 (10년) — 변리사 위탁 시 50~80만</t>
        </is>
      </c>
    </row>
    <row r="9">
      <c r="A9" s="13" t="inlineStr">
        <is>
          <t>상표등록 — 트리거소프트 (셀프 출원)</t>
        </is>
      </c>
      <c r="B9" s="19" t="n">
        <v>267000</v>
      </c>
      <c r="C9" s="13" t="inlineStr">
        <is>
          <t>일회성</t>
        </is>
      </c>
      <c r="D9" s="13" t="inlineStr">
        <is>
          <t>동일 — 법인명 상표</t>
        </is>
      </c>
    </row>
    <row r="10">
      <c r="A10" s="13" t="inlineStr">
        <is>
          <t>Mac mini M1 16GB/256GB 중고 (선택)</t>
        </is>
      </c>
      <c r="B10" s="19" t="n">
        <v>800000</v>
      </c>
      <c r="C10" s="13" t="inlineStr">
        <is>
          <t>일회성</t>
        </is>
      </c>
      <c r="D10" s="13" t="inlineStr">
        <is>
          <t>자본 여유 시 — 24/7 운영 베이스</t>
        </is>
      </c>
    </row>
    <row r="11">
      <c r="A11" s="13" t="inlineStr">
        <is>
          <t>Mac mini 주변기기 (외장 SSD 등, 선택)</t>
        </is>
      </c>
      <c r="B11" s="19" t="n">
        <v>80000</v>
      </c>
      <c r="C11" s="13" t="inlineStr">
        <is>
          <t>일회성</t>
        </is>
      </c>
      <c r="D11" s="13" t="inlineStr">
        <is>
          <t>Mac mini 옵션 시</t>
        </is>
      </c>
    </row>
    <row r="12">
      <c r="A12" s="13" t="inlineStr">
        <is>
          <t>NICE 본인인증 — 계약 보증금 (선택)</t>
        </is>
      </c>
      <c r="B12" s="19" t="n">
        <v>100000</v>
      </c>
      <c r="C12" s="13" t="inlineStr">
        <is>
          <t>일회성</t>
        </is>
      </c>
      <c r="D12" s="13" t="inlineStr">
        <is>
          <t>미성년자 확인 도입 시</t>
        </is>
      </c>
    </row>
    <row r="13">
      <c r="A13" s="13" t="inlineStr">
        <is>
          <t>카카오 로그인 검수</t>
        </is>
      </c>
      <c r="B13" s="19" t="n">
        <v>0</v>
      </c>
      <c r="C13" s="13" t="inlineStr">
        <is>
          <t>일회성</t>
        </is>
      </c>
      <c r="D13" s="13" t="inlineStr">
        <is>
          <t>무료, 1~2주</t>
        </is>
      </c>
    </row>
    <row r="14">
      <c r="A14" s="13" t="inlineStr">
        <is>
          <t>네이버 로그인 가입</t>
        </is>
      </c>
      <c r="B14" s="19" t="n">
        <v>0</v>
      </c>
      <c r="C14" s="13" t="inlineStr">
        <is>
          <t>일회성</t>
        </is>
      </c>
      <c r="D14" s="13" t="inlineStr">
        <is>
          <t>무료</t>
        </is>
      </c>
    </row>
    <row r="15">
      <c r="A15" s="13" t="inlineStr">
        <is>
          <t>솔라피 알림톡 템플릿 등록·심사</t>
        </is>
      </c>
      <c r="B15" s="19" t="n">
        <v>0</v>
      </c>
      <c r="C15" s="13" t="inlineStr">
        <is>
          <t>일회성</t>
        </is>
      </c>
      <c r="D15" s="13" t="inlineStr">
        <is>
          <t>무료, 1~2주</t>
        </is>
      </c>
    </row>
    <row r="16">
      <c r="A16" s="13" t="inlineStr">
        <is>
          <t>토스페이먼츠 가맹점 가입</t>
        </is>
      </c>
      <c r="B16" s="19" t="n">
        <v>0</v>
      </c>
      <c r="C16" s="13" t="inlineStr">
        <is>
          <t>일회성</t>
        </is>
      </c>
      <c r="D16" s="13" t="inlineStr">
        <is>
          <t>무료, 심사 1~2주</t>
        </is>
      </c>
    </row>
    <row r="17">
      <c r="A17" s="13" t="inlineStr">
        <is>
          <t>사업자등록 (홈택스)</t>
        </is>
      </c>
      <c r="B17" s="19" t="n">
        <v>0</v>
      </c>
      <c r="C17" s="13" t="inlineStr">
        <is>
          <t>일회성</t>
        </is>
      </c>
      <c r="D17" s="13" t="inlineStr">
        <is>
          <t>무료</t>
        </is>
      </c>
    </row>
    <row r="18">
      <c r="A18" s="13" t="inlineStr">
        <is>
          <t>통신판매업 신고</t>
        </is>
      </c>
      <c r="B18" s="19" t="n">
        <v>0</v>
      </c>
      <c r="C18" s="13" t="inlineStr">
        <is>
          <t>일회성</t>
        </is>
      </c>
      <c r="D18" s="13" t="inlineStr">
        <is>
          <t>무료</t>
        </is>
      </c>
    </row>
    <row r="19">
      <c r="A19" s="13" t="inlineStr">
        <is>
          <t>위치기반서비스사업 신고</t>
        </is>
      </c>
      <c r="B19" s="19" t="n">
        <v>0</v>
      </c>
      <c r="C19" s="13" t="inlineStr">
        <is>
          <t>일회성</t>
        </is>
      </c>
      <c r="D19" s="13" t="inlineStr">
        <is>
          <t>무료, 수 주 소요</t>
        </is>
      </c>
    </row>
    <row r="20">
      <c r="A20" s="13" t="inlineStr">
        <is>
          <t>Cloudflare / Firebase / Sentry 가입</t>
        </is>
      </c>
      <c r="B20" s="19" t="n">
        <v>0</v>
      </c>
      <c r="C20" s="13" t="inlineStr">
        <is>
          <t>일회성</t>
        </is>
      </c>
      <c r="D20" s="13" t="inlineStr">
        <is>
          <t>무료</t>
        </is>
      </c>
    </row>
    <row r="21">
      <c r="A21" s="13" t="inlineStr">
        <is>
          <t>Google Workspace 초기 셋업</t>
        </is>
      </c>
      <c r="B21" s="19" t="n">
        <v>0</v>
      </c>
      <c r="C21" s="13" t="inlineStr">
        <is>
          <t>일회성</t>
        </is>
      </c>
      <c r="D21" s="13" t="inlineStr">
        <is>
          <t>월 정액에 포함</t>
        </is>
      </c>
    </row>
    <row r="22">
      <c r="A22" s="20" t="inlineStr">
        <is>
          <t>소계 — 필수만 (Mac mini·NICE 제외)</t>
        </is>
      </c>
      <c r="B22" s="21">
        <f>SUM(B4:B9)+SUM(B14:B21)</f>
        <v/>
      </c>
      <c r="C22" s="13" t="inlineStr"/>
      <c r="D22" s="13" t="inlineStr"/>
    </row>
    <row r="23">
      <c r="A23" s="20" t="inlineStr">
        <is>
          <t>소계 — 옵션 포함 (Mac mini + NICE)</t>
        </is>
      </c>
      <c r="B23" s="21">
        <f>SUM(B4:B21)</f>
        <v/>
      </c>
      <c r="C23" s="13" t="inlineStr"/>
      <c r="D23" s="13" t="inlineStr">
        <is>
          <t>전체 포함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38" customWidth="1" min="5" max="5"/>
  </cols>
  <sheetData>
    <row r="1">
      <c r="A1" s="1" t="inlineStr">
        <is>
          <t>월별 운영비 시나리오 — 반복 비용만 (1회성 제외)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1" t="inlineStr">
        <is>
          <t>항목</t>
        </is>
      </c>
      <c r="B3" s="11" t="inlineStr">
        <is>
          <t>MAU 1K (매장 10)</t>
        </is>
      </c>
      <c r="C3" s="11" t="inlineStr">
        <is>
          <t>MAU 10K (매장 100)</t>
        </is>
      </c>
      <c r="D3" s="11" t="inlineStr">
        <is>
          <t>MAU 100K (매장 500)</t>
        </is>
      </c>
      <c r="E3" s="11" t="inlineStr">
        <is>
          <t>비고</t>
        </is>
      </c>
    </row>
    <row r="4">
      <c r="A4" s="13" t="inlineStr">
        <is>
          <t>서버 (가비아 G클라우드)</t>
        </is>
      </c>
      <c r="B4" s="19" t="n">
        <v>50000</v>
      </c>
      <c r="C4" s="19" t="n">
        <v>150000</v>
      </c>
      <c r="D4" s="19" t="n">
        <v>600000</v>
      </c>
      <c r="E4" s="13" t="inlineStr">
        <is>
          <t>국내 — Light → Standard → 분리·HA</t>
        </is>
      </c>
    </row>
    <row r="5">
      <c r="A5" s="13" t="inlineStr">
        <is>
          <t>DB (PG 통합/분리)</t>
        </is>
      </c>
      <c r="B5" s="19" t="n">
        <v>0</v>
      </c>
      <c r="C5" s="19" t="n">
        <v>30000</v>
      </c>
      <c r="D5" s="19" t="n">
        <v>200000</v>
      </c>
      <c r="E5" s="13" t="inlineStr">
        <is>
          <t>초기 서버 포함 → MAU 10K부터 분리</t>
        </is>
      </c>
    </row>
    <row r="6">
      <c r="A6" s="13" t="inlineStr">
        <is>
          <t>도메인 (2개 × 월할)</t>
        </is>
      </c>
      <c r="B6" s="19" t="n">
        <v>5000</v>
      </c>
      <c r="C6" s="19" t="n">
        <v>5000</v>
      </c>
      <c r="D6" s="19" t="n">
        <v>5000</v>
      </c>
      <c r="E6" s="13" t="inlineStr">
        <is>
          <t>pathwave + triggersoft</t>
        </is>
      </c>
    </row>
    <row r="7">
      <c r="A7" s="13" t="inlineStr">
        <is>
          <t>알림톡 (매장당 100건/월 × 9원)</t>
        </is>
      </c>
      <c r="B7" s="19" t="n">
        <v>9000</v>
      </c>
      <c r="C7" s="19" t="n">
        <v>90000</v>
      </c>
      <c r="D7" s="19" t="n">
        <v>450000</v>
      </c>
      <c r="E7" s="13" t="inlineStr">
        <is>
          <t>매장 × 100건 × 9원</t>
        </is>
      </c>
    </row>
    <row r="8">
      <c r="A8" s="13" t="inlineStr">
        <is>
          <t>SMS + 본인인증</t>
        </is>
      </c>
      <c r="B8" s="19" t="n">
        <v>5000</v>
      </c>
      <c r="C8" s="19" t="n">
        <v>30000</v>
      </c>
      <c r="D8" s="19" t="n">
        <v>200000</v>
      </c>
      <c r="E8" s="13" t="inlineStr">
        <is>
          <t>회원가입·결제</t>
        </is>
      </c>
    </row>
    <row r="9">
      <c r="A9" s="13" t="inlineStr">
        <is>
          <t>이메일 (SendGrid)</t>
        </is>
      </c>
      <c r="B9" s="19" t="n">
        <v>0</v>
      </c>
      <c r="C9" s="19" t="n">
        <v>5000</v>
      </c>
      <c r="D9" s="19" t="n">
        <v>50000</v>
      </c>
      <c r="E9" s="13" t="inlineStr">
        <is>
          <t>무료 100통/일</t>
        </is>
      </c>
    </row>
    <row r="10">
      <c r="A10" s="13" t="inlineStr">
        <is>
          <t>Google Workspace (2계정 × $7)</t>
        </is>
      </c>
      <c r="B10" s="19" t="n">
        <v>21000</v>
      </c>
      <c r="C10" s="19" t="n">
        <v>21000</v>
      </c>
      <c r="D10" s="19" t="n">
        <v>21000</v>
      </c>
      <c r="E10" s="13" t="inlineStr">
        <is>
          <t>pathwave + triggersoft @1500</t>
        </is>
      </c>
    </row>
    <row r="11">
      <c r="A11" s="13" t="inlineStr">
        <is>
          <t>Sentry 모니터링</t>
        </is>
      </c>
      <c r="B11" s="19" t="n">
        <v>0</v>
      </c>
      <c r="C11" s="19" t="n">
        <v>0</v>
      </c>
      <c r="D11" s="19" t="n">
        <v>50000</v>
      </c>
      <c r="E11" s="13" t="inlineStr">
        <is>
          <t>무료 5K → 대규모 유료</t>
        </is>
      </c>
    </row>
    <row r="12">
      <c r="A12" s="13" t="inlineStr">
        <is>
          <t>Firebase Auth</t>
        </is>
      </c>
      <c r="B12" s="19" t="n">
        <v>0</v>
      </c>
      <c r="C12" s="19" t="n">
        <v>0</v>
      </c>
      <c r="D12" s="19" t="n">
        <v>20000</v>
      </c>
      <c r="E12" s="13" t="inlineStr">
        <is>
          <t>무료 10K MAU → 초과 유료</t>
        </is>
      </c>
    </row>
    <row r="13">
      <c r="A13" s="13" t="inlineStr">
        <is>
          <t>Google Maps (초과분)</t>
        </is>
      </c>
      <c r="B13" s="19" t="n">
        <v>0</v>
      </c>
      <c r="C13" s="19" t="n">
        <v>0</v>
      </c>
      <c r="D13" s="19" t="n">
        <v>30000</v>
      </c>
      <c r="E13" s="13" t="inlineStr">
        <is>
          <t>월 $200 크레딧</t>
        </is>
      </c>
    </row>
    <row r="14">
      <c r="A14" s="13" t="inlineStr">
        <is>
          <t>푸시 (APNs + FCM — 무료)</t>
        </is>
      </c>
      <c r="B14" s="19" t="n">
        <v>0</v>
      </c>
      <c r="C14" s="19" t="n">
        <v>0</v>
      </c>
      <c r="D14" s="19" t="n">
        <v>0</v>
      </c>
      <c r="E14" s="13" t="inlineStr">
        <is>
          <t>APNs 자체구축 + FCM 무료</t>
        </is>
      </c>
    </row>
    <row r="15">
      <c r="A15" s="20" t="inlineStr">
        <is>
          <t>월 운영비 합계</t>
        </is>
      </c>
      <c r="B15" s="21">
        <f>SUM(B4:B14)</f>
        <v/>
      </c>
      <c r="C15" s="21">
        <f>SUM(C4:C14)</f>
        <v/>
      </c>
      <c r="D15" s="21">
        <f>SUM(D4:D14)</f>
        <v/>
      </c>
      <c r="E15" s="13" t="inlineStr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8" customWidth="1" min="4" max="4"/>
    <col width="18" customWidth="1" min="5" max="5"/>
  </cols>
  <sheetData>
    <row r="1">
      <c r="A1" s="1" t="inlineStr">
        <is>
          <t>손익분기점 — 매장당 월 ₩10,000 매출 가정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시나리오</t>
        </is>
      </c>
      <c r="B3" s="3" t="inlineStr">
        <is>
          <t>월 운영비 (₩)</t>
        </is>
      </c>
      <c r="C3" s="3" t="inlineStr">
        <is>
          <t>매장 수</t>
        </is>
      </c>
      <c r="D3" s="3" t="inlineStr">
        <is>
          <t>월 매출 (₩)</t>
        </is>
      </c>
      <c r="E3" s="3" t="inlineStr">
        <is>
          <t>월 손익 (₩)</t>
        </is>
      </c>
    </row>
    <row r="4">
      <c r="A4" s="4" t="inlineStr">
        <is>
          <t>MAU 1K (매장 10)</t>
        </is>
      </c>
      <c r="B4" s="5">
        <f>'월별 운영비 시나리오'!B15</f>
        <v/>
      </c>
      <c r="C4" s="22" t="n">
        <v>10</v>
      </c>
      <c r="D4" s="6">
        <f>C4*10000</f>
        <v/>
      </c>
      <c r="E4" s="8">
        <f>D4-B4</f>
        <v/>
      </c>
    </row>
    <row r="5">
      <c r="A5" s="4" t="inlineStr">
        <is>
          <t>MAU 10K (매장 100)</t>
        </is>
      </c>
      <c r="B5" s="5">
        <f>'월별 운영비 시나리오'!C15</f>
        <v/>
      </c>
      <c r="C5" s="22" t="n">
        <v>100</v>
      </c>
      <c r="D5" s="6">
        <f>C5*10000</f>
        <v/>
      </c>
      <c r="E5" s="8">
        <f>D5-B5</f>
        <v/>
      </c>
    </row>
    <row r="6">
      <c r="A6" s="4" t="inlineStr">
        <is>
          <t>MAU 100K (매장 500)</t>
        </is>
      </c>
      <c r="B6" s="5">
        <f>'월별 운영비 시나리오'!D15</f>
        <v/>
      </c>
      <c r="C6" s="22" t="n">
        <v>500</v>
      </c>
      <c r="D6" s="6">
        <f>C6*10000</f>
        <v/>
      </c>
      <c r="E6" s="8">
        <f>D6-B6</f>
        <v/>
      </c>
    </row>
    <row r="7">
      <c r="A7" s="2" t="n"/>
      <c r="B7" s="2" t="n"/>
      <c r="C7" s="2" t="n"/>
      <c r="D7" s="2" t="n"/>
      <c r="E7" s="2" t="n"/>
    </row>
    <row r="8">
      <c r="A8" s="9" t="inlineStr">
        <is>
          <t>손익분기 매장 수 (각 시나리오)</t>
        </is>
      </c>
      <c r="B8" s="2" t="inlineStr"/>
      <c r="C8" s="2" t="inlineStr"/>
      <c r="D8" s="2" t="inlineStr"/>
      <c r="E8" s="2" t="inlineStr"/>
    </row>
    <row r="9">
      <c r="A9" s="4" t="inlineStr">
        <is>
          <t>MAU 1K 운영비 → BEP 매장 수</t>
        </is>
      </c>
      <c r="B9" s="23">
        <f>B4/10000</f>
        <v/>
      </c>
      <c r="C9" s="4" t="inlineStr"/>
      <c r="D9" s="4" t="inlineStr"/>
      <c r="E9" s="4" t="inlineStr">
        <is>
          <t>운영비 ÷ 1만원</t>
        </is>
      </c>
    </row>
    <row r="10">
      <c r="A10" s="4" t="inlineStr">
        <is>
          <t>MAU 10K 운영비 → BEP 매장 수</t>
        </is>
      </c>
      <c r="B10" s="23">
        <f>B5/10000</f>
        <v/>
      </c>
      <c r="C10" s="4" t="inlineStr"/>
      <c r="D10" s="4" t="inlineStr"/>
      <c r="E10" s="4" t="inlineStr"/>
    </row>
    <row r="11">
      <c r="A11" s="4" t="inlineStr">
        <is>
          <t>MAU 100K 운영비 → BEP 매장 수</t>
        </is>
      </c>
      <c r="B11" s="23">
        <f>B6/10000</f>
        <v/>
      </c>
      <c r="C11" s="4" t="inlineStr"/>
      <c r="D11" s="4" t="inlineStr"/>
      <c r="E11" s="4" t="inlineStr"/>
    </row>
    <row r="12">
      <c r="A12" s="24" t="inlineStr">
        <is>
          <t>⚠ 매장당 월 1만원 매출 — 구조적 손익 분석 필요</t>
        </is>
      </c>
      <c r="B12" s="2" t="n"/>
      <c r="C12" s="2" t="n"/>
      <c r="D12" s="2" t="n"/>
      <c r="E12" s="2" t="n"/>
    </row>
    <row r="13">
      <c r="A13" s="10" t="inlineStr">
        <is>
          <t>· 매장당 매출 1만원은 인건비·자본비용 미반영 시점. 손익분기는 비용 회수만 의미</t>
        </is>
      </c>
      <c r="B13" s="2" t="n"/>
      <c r="C13" s="2" t="n"/>
      <c r="D13" s="2" t="n"/>
      <c r="E13" s="2" t="n"/>
    </row>
    <row r="14">
      <c r="A14" s="10" t="inlineStr">
        <is>
          <t>· 매장 100개 미달 시 적자 — 초기에는 자본 투자 + B2B 영업 + 광고/스폰서 등 보완 매출 필요</t>
        </is>
      </c>
      <c r="B14" s="2" t="n"/>
      <c r="C14" s="2" t="n"/>
      <c r="D14" s="2" t="n"/>
      <c r="E14" s="2" t="n"/>
    </row>
    <row r="15">
      <c r="A15" s="10" t="inlineStr">
        <is>
          <t>· 매장 증가 = 알림톡·SMS 사용량 증가 (비례) → 단가 협상력 필요</t>
        </is>
      </c>
      <c r="B15" s="2" t="n"/>
      <c r="C15" s="2" t="n"/>
      <c r="D15" s="2" t="n"/>
      <c r="E15" s="2" t="n"/>
    </row>
    <row r="16">
      <c r="A16" s="10" t="inlineStr">
        <is>
          <t>· 자동화(Stage 2~3) 도구 도입 시 인건비 절감 효과로 BEP 낮춤</t>
        </is>
      </c>
      <c r="B16" s="2" t="n"/>
      <c r="C16" s="2" t="n"/>
      <c r="D16" s="2" t="n"/>
      <c r="E16" s="2" t="n"/>
    </row>
    <row r="17">
      <c r="A17" s="10" t="inlineStr">
        <is>
          <t>· 추후 부가 수익원(번역 API 유료 / 광고 / 데이터 분석 등) 검토 필요</t>
        </is>
      </c>
      <c r="B17" s="2" t="n"/>
      <c r="C17" s="2" t="n"/>
      <c r="D17" s="2" t="n"/>
      <c r="E17" s="2" t="n"/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(반복 비용만 — 1회성은 초기 세팅비 시트 참조)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5" t="inlineStr">
        <is>
          <t>※ 출시 = 2026-07 하순~08-초. 1~5월 코드 작업(비용 0). 6월 외부 신청 시작(도메인·Workspace). 7월 서버 셋업 + Apple/Google Play(1회성은 별도). 8월 출시 후 MAU 0~1K, 매장 0→10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(가비아 G클라우드)</t>
        </is>
      </c>
      <c r="B5" s="19" t="n">
        <v>0</v>
      </c>
      <c r="C5" s="19" t="n">
        <v>0</v>
      </c>
      <c r="D5" s="19" t="n">
        <v>0</v>
      </c>
      <c r="E5" s="19" t="n">
        <v>0</v>
      </c>
      <c r="F5" s="19" t="n">
        <v>0</v>
      </c>
      <c r="G5" s="19" t="n">
        <v>0</v>
      </c>
      <c r="H5" s="19" t="n">
        <v>30000</v>
      </c>
      <c r="I5" s="19" t="n">
        <v>50000</v>
      </c>
      <c r="J5" s="19" t="n">
        <v>50000</v>
      </c>
      <c r="K5" s="19" t="n">
        <v>50000</v>
      </c>
      <c r="L5" s="19" t="n">
        <v>50000</v>
      </c>
      <c r="M5" s="19" t="n">
        <v>50000</v>
      </c>
      <c r="N5" s="26">
        <f>SUM(B5:M5)</f>
        <v/>
      </c>
    </row>
    <row r="6">
      <c r="A6" s="13" t="inlineStr">
        <is>
          <t>DB (PG)</t>
        </is>
      </c>
      <c r="B6" s="19" t="n">
        <v>0</v>
      </c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26">
        <f>SUM(B6:M6)</f>
        <v/>
      </c>
    </row>
    <row r="7">
      <c r="A7" s="13" t="inlineStr">
        <is>
          <t>도메인 (월할)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5000</v>
      </c>
      <c r="H7" s="19" t="n">
        <v>5000</v>
      </c>
      <c r="I7" s="19" t="n">
        <v>5000</v>
      </c>
      <c r="J7" s="19" t="n">
        <v>5000</v>
      </c>
      <c r="K7" s="19" t="n">
        <v>5000</v>
      </c>
      <c r="L7" s="19" t="n">
        <v>5000</v>
      </c>
      <c r="M7" s="19" t="n">
        <v>5000</v>
      </c>
      <c r="N7" s="26">
        <f>SUM(B7:M7)</f>
        <v/>
      </c>
    </row>
    <row r="8">
      <c r="A8" s="13" t="inlineStr">
        <is>
          <t>알림톡 (사용량)</t>
        </is>
      </c>
      <c r="B8" s="19" t="n">
        <v>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5000</v>
      </c>
      <c r="J8" s="19" t="n">
        <v>7000</v>
      </c>
      <c r="K8" s="19" t="n">
        <v>8000</v>
      </c>
      <c r="L8" s="19" t="n">
        <v>9000</v>
      </c>
      <c r="M8" s="19" t="n">
        <v>9000</v>
      </c>
      <c r="N8" s="26">
        <f>SUM(B8:M8)</f>
        <v/>
      </c>
    </row>
    <row r="9">
      <c r="A9" s="13" t="inlineStr">
        <is>
          <t>SMS + 본인인증</t>
        </is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2000</v>
      </c>
      <c r="J9" s="19" t="n">
        <v>3000</v>
      </c>
      <c r="K9" s="19" t="n">
        <v>4000</v>
      </c>
      <c r="L9" s="19" t="n">
        <v>5000</v>
      </c>
      <c r="M9" s="19" t="n">
        <v>5000</v>
      </c>
      <c r="N9" s="26">
        <f>SUM(B9:M9)</f>
        <v/>
      </c>
    </row>
    <row r="10">
      <c r="A10" s="13" t="inlineStr">
        <is>
          <t>이메일 (SendGrid)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26">
        <f>SUM(B10:M10)</f>
        <v/>
      </c>
    </row>
    <row r="11">
      <c r="A11" s="13" t="inlineStr">
        <is>
          <t>Google Workspace (2계정)</t>
        </is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21000</v>
      </c>
      <c r="H11" s="19" t="n">
        <v>21000</v>
      </c>
      <c r="I11" s="19" t="n">
        <v>21000</v>
      </c>
      <c r="J11" s="19" t="n">
        <v>21000</v>
      </c>
      <c r="K11" s="19" t="n">
        <v>21000</v>
      </c>
      <c r="L11" s="19" t="n">
        <v>21000</v>
      </c>
      <c r="M11" s="19" t="n">
        <v>21000</v>
      </c>
      <c r="N11" s="26">
        <f>SUM(B11:M11)</f>
        <v/>
      </c>
    </row>
    <row r="12">
      <c r="A12" s="13" t="inlineStr">
        <is>
          <t>Sentry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26">
        <f>SUM(B12:M12)</f>
        <v/>
      </c>
    </row>
    <row r="13">
      <c r="A13" s="13" t="inlineStr">
        <is>
          <t>Firebase Auth</t>
        </is>
      </c>
      <c r="B13" s="19" t="n">
        <v>0</v>
      </c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26">
        <f>SUM(B13:M13)</f>
        <v/>
      </c>
    </row>
    <row r="14">
      <c r="A14" s="13" t="inlineStr">
        <is>
          <t>Google Maps (초과)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26">
        <f>SUM(B14:M14)</f>
        <v/>
      </c>
    </row>
    <row r="15">
      <c r="A15" s="13" t="inlineStr">
        <is>
          <t>번역 API (P8b)</t>
        </is>
      </c>
      <c r="B15" s="19" t="n">
        <v>0</v>
      </c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26">
        <f>SUM(B15:M15)</f>
        <v/>
      </c>
    </row>
    <row r="16">
      <c r="A16" s="20" t="inlineStr">
        <is>
          <t>월 운영비 합계 (반복만)</t>
        </is>
      </c>
      <c r="B16" s="21">
        <f>SUM(B5:B15)</f>
        <v/>
      </c>
      <c r="C16" s="21">
        <f>SUM(C5:C15)</f>
        <v/>
      </c>
      <c r="D16" s="21">
        <f>SUM(D5:D15)</f>
        <v/>
      </c>
      <c r="E16" s="21">
        <f>SUM(E5:E15)</f>
        <v/>
      </c>
      <c r="F16" s="21">
        <f>SUM(F5:F15)</f>
        <v/>
      </c>
      <c r="G16" s="21">
        <f>SUM(G5:G15)</f>
        <v/>
      </c>
      <c r="H16" s="21">
        <f>SUM(H5:H15)</f>
        <v/>
      </c>
      <c r="I16" s="21">
        <f>SUM(I5:I15)</f>
        <v/>
      </c>
      <c r="J16" s="21">
        <f>SUM(J5:J15)</f>
        <v/>
      </c>
      <c r="K16" s="21">
        <f>SUM(K5:K15)</f>
        <v/>
      </c>
      <c r="L16" s="21">
        <f>SUM(L5:L15)</f>
        <v/>
      </c>
      <c r="M16" s="21">
        <f>SUM(M5:M15)</f>
        <v/>
      </c>
      <c r="N16" s="21">
        <f>SUM(B16:M16)</f>
        <v/>
      </c>
    </row>
    <row r="17">
      <c r="A17" s="27" t="inlineStr">
        <is>
          <t>누계</t>
        </is>
      </c>
      <c r="B17" s="28">
        <f>B16</f>
        <v/>
      </c>
      <c r="C17" s="28">
        <f>B17+C16</f>
        <v/>
      </c>
      <c r="D17" s="28">
        <f>C17+D16</f>
        <v/>
      </c>
      <c r="E17" s="28">
        <f>D17+E16</f>
        <v/>
      </c>
      <c r="F17" s="28">
        <f>E17+F16</f>
        <v/>
      </c>
      <c r="G17" s="28">
        <f>F17+G16</f>
        <v/>
      </c>
      <c r="H17" s="28">
        <f>G17+H16</f>
        <v/>
      </c>
      <c r="I17" s="28">
        <f>H17+I16</f>
        <v/>
      </c>
      <c r="J17" s="28">
        <f>I17+J16</f>
        <v/>
      </c>
      <c r="K17" s="28">
        <f>J17+K16</f>
        <v/>
      </c>
      <c r="L17" s="28">
        <f>K17+L16</f>
        <v/>
      </c>
      <c r="M17" s="28">
        <f>L17+M16</f>
        <v/>
      </c>
      <c r="N17" s="28">
        <f>N16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(반복 비용만 — 1회성은 초기 세팅비 시트 참조)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5" t="inlineStr">
        <is>
          <t>※ 점진 성장 — Q1: 매장 20~30(MAU 1~2K), Q2: 50(MAU 3~5K), Q3: 100(MAU 5~10K), Q4: 200(MAU 10K+). 알림톡 = 매장당 100건/월 × 9원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(가비아 G클라우드)</t>
        </is>
      </c>
      <c r="B5" s="19" t="n">
        <v>50000</v>
      </c>
      <c r="C5" s="19" t="n">
        <v>50000</v>
      </c>
      <c r="D5" s="19" t="n">
        <v>50000</v>
      </c>
      <c r="E5" s="19" t="n">
        <v>80000</v>
      </c>
      <c r="F5" s="19" t="n">
        <v>80000</v>
      </c>
      <c r="G5" s="19" t="n">
        <v>80000</v>
      </c>
      <c r="H5" s="19" t="n">
        <v>120000</v>
      </c>
      <c r="I5" s="19" t="n">
        <v>120000</v>
      </c>
      <c r="J5" s="19" t="n">
        <v>120000</v>
      </c>
      <c r="K5" s="19" t="n">
        <v>150000</v>
      </c>
      <c r="L5" s="19" t="n">
        <v>150000</v>
      </c>
      <c r="M5" s="19" t="n">
        <v>150000</v>
      </c>
      <c r="N5" s="26">
        <f>SUM(B5:M5)</f>
        <v/>
      </c>
    </row>
    <row r="6">
      <c r="A6" s="13" t="inlineStr">
        <is>
          <t>DB (PG)</t>
        </is>
      </c>
      <c r="B6" s="19" t="n">
        <v>0</v>
      </c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20000</v>
      </c>
      <c r="I6" s="19" t="n">
        <v>20000</v>
      </c>
      <c r="J6" s="19" t="n">
        <v>20000</v>
      </c>
      <c r="K6" s="19" t="n">
        <v>30000</v>
      </c>
      <c r="L6" s="19" t="n">
        <v>30000</v>
      </c>
      <c r="M6" s="19" t="n">
        <v>30000</v>
      </c>
      <c r="N6" s="26">
        <f>SUM(B6:M6)</f>
        <v/>
      </c>
    </row>
    <row r="7">
      <c r="A7" s="13" t="inlineStr">
        <is>
          <t>도메인 (월할)</t>
        </is>
      </c>
      <c r="B7" s="19" t="n">
        <v>5000</v>
      </c>
      <c r="C7" s="19" t="n">
        <v>5000</v>
      </c>
      <c r="D7" s="19" t="n">
        <v>5000</v>
      </c>
      <c r="E7" s="19" t="n">
        <v>5000</v>
      </c>
      <c r="F7" s="19" t="n">
        <v>5000</v>
      </c>
      <c r="G7" s="19" t="n">
        <v>5000</v>
      </c>
      <c r="H7" s="19" t="n">
        <v>5000</v>
      </c>
      <c r="I7" s="19" t="n">
        <v>5000</v>
      </c>
      <c r="J7" s="19" t="n">
        <v>5000</v>
      </c>
      <c r="K7" s="19" t="n">
        <v>5000</v>
      </c>
      <c r="L7" s="19" t="n">
        <v>5000</v>
      </c>
      <c r="M7" s="19" t="n">
        <v>5000</v>
      </c>
      <c r="N7" s="26">
        <f>SUM(B7:M7)</f>
        <v/>
      </c>
    </row>
    <row r="8">
      <c r="A8" s="13" t="inlineStr">
        <is>
          <t>알림톡 (사용량)</t>
        </is>
      </c>
      <c r="B8" s="19" t="n">
        <v>18000</v>
      </c>
      <c r="C8" s="19" t="n">
        <v>22500</v>
      </c>
      <c r="D8" s="19" t="n">
        <v>27000</v>
      </c>
      <c r="E8" s="19" t="n">
        <v>36000</v>
      </c>
      <c r="F8" s="19" t="n">
        <v>40500</v>
      </c>
      <c r="G8" s="19" t="n">
        <v>45000</v>
      </c>
      <c r="H8" s="19" t="n">
        <v>63000</v>
      </c>
      <c r="I8" s="19" t="n">
        <v>72000</v>
      </c>
      <c r="J8" s="19" t="n">
        <v>90000</v>
      </c>
      <c r="K8" s="19" t="n">
        <v>135000</v>
      </c>
      <c r="L8" s="19" t="n">
        <v>153000</v>
      </c>
      <c r="M8" s="19" t="n">
        <v>180000</v>
      </c>
      <c r="N8" s="26">
        <f>SUM(B8:M8)</f>
        <v/>
      </c>
    </row>
    <row r="9">
      <c r="A9" s="13" t="inlineStr">
        <is>
          <t>SMS + 본인인증</t>
        </is>
      </c>
      <c r="B9" s="19" t="n">
        <v>5000</v>
      </c>
      <c r="C9" s="19" t="n">
        <v>6000</v>
      </c>
      <c r="D9" s="19" t="n">
        <v>7000</v>
      </c>
      <c r="E9" s="19" t="n">
        <v>10000</v>
      </c>
      <c r="F9" s="19" t="n">
        <v>12000</v>
      </c>
      <c r="G9" s="19" t="n">
        <v>15000</v>
      </c>
      <c r="H9" s="19" t="n">
        <v>18000</v>
      </c>
      <c r="I9" s="19" t="n">
        <v>22000</v>
      </c>
      <c r="J9" s="19" t="n">
        <v>28000</v>
      </c>
      <c r="K9" s="19" t="n">
        <v>35000</v>
      </c>
      <c r="L9" s="19" t="n">
        <v>40000</v>
      </c>
      <c r="M9" s="19" t="n">
        <v>45000</v>
      </c>
      <c r="N9" s="26">
        <f>SUM(B9:M9)</f>
        <v/>
      </c>
    </row>
    <row r="10">
      <c r="A10" s="13" t="inlineStr">
        <is>
          <t>이메일 (SendGrid)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3000</v>
      </c>
      <c r="G10" s="19" t="n">
        <v>3000</v>
      </c>
      <c r="H10" s="19" t="n">
        <v>5000</v>
      </c>
      <c r="I10" s="19" t="n">
        <v>5000</v>
      </c>
      <c r="J10" s="19" t="n">
        <v>5000</v>
      </c>
      <c r="K10" s="19" t="n">
        <v>8000</v>
      </c>
      <c r="L10" s="19" t="n">
        <v>10000</v>
      </c>
      <c r="M10" s="19" t="n">
        <v>12000</v>
      </c>
      <c r="N10" s="26">
        <f>SUM(B10:M10)</f>
        <v/>
      </c>
    </row>
    <row r="11">
      <c r="A11" s="13" t="inlineStr">
        <is>
          <t>Google Workspace (2계정)</t>
        </is>
      </c>
      <c r="B11" s="19" t="n">
        <v>21000</v>
      </c>
      <c r="C11" s="19" t="n">
        <v>21000</v>
      </c>
      <c r="D11" s="19" t="n">
        <v>21000</v>
      </c>
      <c r="E11" s="19" t="n">
        <v>21000</v>
      </c>
      <c r="F11" s="19" t="n">
        <v>21000</v>
      </c>
      <c r="G11" s="19" t="n">
        <v>21000</v>
      </c>
      <c r="H11" s="19" t="n">
        <v>21000</v>
      </c>
      <c r="I11" s="19" t="n">
        <v>21000</v>
      </c>
      <c r="J11" s="19" t="n">
        <v>21000</v>
      </c>
      <c r="K11" s="19" t="n">
        <v>21000</v>
      </c>
      <c r="L11" s="19" t="n">
        <v>21000</v>
      </c>
      <c r="M11" s="19" t="n">
        <v>21000</v>
      </c>
      <c r="N11" s="26">
        <f>SUM(B11:M11)</f>
        <v/>
      </c>
    </row>
    <row r="12">
      <c r="A12" s="13" t="inlineStr">
        <is>
          <t>Sentry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30000</v>
      </c>
      <c r="K12" s="19" t="n">
        <v>30000</v>
      </c>
      <c r="L12" s="19" t="n">
        <v>30000</v>
      </c>
      <c r="M12" s="19" t="n">
        <v>30000</v>
      </c>
      <c r="N12" s="26">
        <f>SUM(B12:M12)</f>
        <v/>
      </c>
    </row>
    <row r="13">
      <c r="A13" s="13" t="inlineStr">
        <is>
          <t>Firebase Auth</t>
        </is>
      </c>
      <c r="B13" s="19" t="n">
        <v>0</v>
      </c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10000</v>
      </c>
      <c r="L13" s="19" t="n">
        <v>15000</v>
      </c>
      <c r="M13" s="19" t="n">
        <v>20000</v>
      </c>
      <c r="N13" s="26">
        <f>SUM(B13:M13)</f>
        <v/>
      </c>
    </row>
    <row r="14">
      <c r="A14" s="13" t="inlineStr">
        <is>
          <t>Google Maps (초과)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10000</v>
      </c>
      <c r="L14" s="19" t="n">
        <v>20000</v>
      </c>
      <c r="M14" s="19" t="n">
        <v>30000</v>
      </c>
      <c r="N14" s="26">
        <f>SUM(B14:M14)</f>
        <v/>
      </c>
    </row>
    <row r="15">
      <c r="A15" s="13" t="inlineStr">
        <is>
          <t>번역 API (P8b)</t>
        </is>
      </c>
      <c r="B15" s="19" t="n">
        <v>0</v>
      </c>
      <c r="C15" s="19" t="n">
        <v>0</v>
      </c>
      <c r="D15" s="19" t="n">
        <v>0</v>
      </c>
      <c r="E15" s="19" t="n">
        <v>10000</v>
      </c>
      <c r="F15" s="19" t="n">
        <v>15000</v>
      </c>
      <c r="G15" s="19" t="n">
        <v>20000</v>
      </c>
      <c r="H15" s="19" t="n">
        <v>25000</v>
      </c>
      <c r="I15" s="19" t="n">
        <v>30000</v>
      </c>
      <c r="J15" s="19" t="n">
        <v>40000</v>
      </c>
      <c r="K15" s="19" t="n">
        <v>50000</v>
      </c>
      <c r="L15" s="19" t="n">
        <v>60000</v>
      </c>
      <c r="M15" s="19" t="n">
        <v>80000</v>
      </c>
      <c r="N15" s="26">
        <f>SUM(B15:M15)</f>
        <v/>
      </c>
    </row>
    <row r="16">
      <c r="A16" s="20" t="inlineStr">
        <is>
          <t>월 운영비 합계 (반복만)</t>
        </is>
      </c>
      <c r="B16" s="21">
        <f>SUM(B5:B15)</f>
        <v/>
      </c>
      <c r="C16" s="21">
        <f>SUM(C5:C15)</f>
        <v/>
      </c>
      <c r="D16" s="21">
        <f>SUM(D5:D15)</f>
        <v/>
      </c>
      <c r="E16" s="21">
        <f>SUM(E5:E15)</f>
        <v/>
      </c>
      <c r="F16" s="21">
        <f>SUM(F5:F15)</f>
        <v/>
      </c>
      <c r="G16" s="21">
        <f>SUM(G5:G15)</f>
        <v/>
      </c>
      <c r="H16" s="21">
        <f>SUM(H5:H15)</f>
        <v/>
      </c>
      <c r="I16" s="21">
        <f>SUM(I5:I15)</f>
        <v/>
      </c>
      <c r="J16" s="21">
        <f>SUM(J5:J15)</f>
        <v/>
      </c>
      <c r="K16" s="21">
        <f>SUM(K5:K15)</f>
        <v/>
      </c>
      <c r="L16" s="21">
        <f>SUM(L5:L15)</f>
        <v/>
      </c>
      <c r="M16" s="21">
        <f>SUM(M5:M15)</f>
        <v/>
      </c>
      <c r="N16" s="21">
        <f>SUM(B16:M16)</f>
        <v/>
      </c>
    </row>
    <row r="17">
      <c r="A17" s="27" t="inlineStr">
        <is>
          <t>누계</t>
        </is>
      </c>
      <c r="B17" s="28">
        <f>B16</f>
        <v/>
      </c>
      <c r="C17" s="28">
        <f>B17+C16</f>
        <v/>
      </c>
      <c r="D17" s="28">
        <f>C17+D16</f>
        <v/>
      </c>
      <c r="E17" s="28">
        <f>D17+E16</f>
        <v/>
      </c>
      <c r="F17" s="28">
        <f>E17+F16</f>
        <v/>
      </c>
      <c r="G17" s="28">
        <f>F17+G16</f>
        <v/>
      </c>
      <c r="H17" s="28">
        <f>G17+H16</f>
        <v/>
      </c>
      <c r="I17" s="28">
        <f>H17+I16</f>
        <v/>
      </c>
      <c r="J17" s="28">
        <f>I17+J16</f>
        <v/>
      </c>
      <c r="K17" s="28">
        <f>J17+K16</f>
        <v/>
      </c>
      <c r="L17" s="28">
        <f>K17+L16</f>
        <v/>
      </c>
      <c r="M17" s="28">
        <f>L17+M16</f>
        <v/>
      </c>
      <c r="N17" s="28">
        <f>N16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2026-05-23T03:39:38Z</dcterms:created>
  <dcterms:modified xmlns:dcterms="http://purl.org/dc/terms/" xmlns:xsi="http://www.w3.org/2001/XMLSchema-instance" xsi:type="dcterms:W3CDTF">2026-05-23T03:39:38Z</dcterms:modified>
</cp:coreProperties>
</file>